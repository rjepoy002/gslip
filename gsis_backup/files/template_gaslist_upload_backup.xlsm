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1.bin" ContentType="application/vnd.ms-office.activeX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4D1C537B-E38A-612A-F078-A93A15B4B7F4}"/>
  <workbookPr codeName="ThisWorkbook"/>
  <bookViews>
    <workbookView xWindow="-120" yWindow="-120" windowWidth="28920" windowHeight="15960" activeTab="2"/>
  </bookViews>
  <sheets>
    <sheet name="fetch_table_vehicles" sheetId="6" r:id="rId1"/>
    <sheet name="fetch_table_routes" sheetId="7" r:id="rId2"/>
    <sheet name="main" sheetId="1" r:id="rId3"/>
  </sheets>
  <definedNames>
    <definedName name="destinations">OFFSET(main!$J$4,0,0,COUNTIF(main!$J$4:$J$1000,"?*"),1)</definedName>
    <definedName name="ExternalData_3" localSheetId="1" hidden="1">fetch_table_routes!$A$1:$E$250</definedName>
    <definedName name="ExternalData_3" localSheetId="0" hidden="1">fetch_table_vehicles!$A$1:$E$80</definedName>
    <definedName name="PlateList">OFFSET(fetch_table_vehicles!$A$2, 0, 0, COUNTA(fetch_table_vehicles!$A:$A)-1)</definedName>
    <definedName name="routelist">OFFSET(fetch_table_routes!$G$2, 0, 0, COUNTIF(fetch_table_routes!$G$2:$G$200, "?*"), 1)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1"/>
  <c r="H4" s="1"/>
  <c r="G2" i="7" a="1"/>
  <c r="G2" s="1"/>
  <c r="J4" i="1" a="1"/>
  <c r="J4" s="1"/>
  <c r="H2" i="7" l="1" a="1"/>
  <c r="H2" s="1"/>
  <c r="I2" l="1"/>
  <c r="J66" i="1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H64" i="7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G14"/>
  <c r="G13"/>
  <c r="G12"/>
  <c r="G11"/>
  <c r="G10"/>
  <c r="G9"/>
  <c r="G8"/>
  <c r="G7"/>
  <c r="G6"/>
  <c r="G5"/>
  <c r="G4"/>
  <c r="G3"/>
</calcChain>
</file>

<file path=xl/connections.xml><?xml version="1.0" encoding="utf-8"?>
<connections xmlns="http://schemas.openxmlformats.org/spreadsheetml/2006/main">
  <connection id="1" keepAlive="1" name="Query - fetch_table_routes(1)" description="Connection to the 'fetch_table_routes' query in the workbook." type="5" refreshedVersion="7" background="1" saveData="1">
    <dbPr connection="Provider=Microsoft.Mashup.OleDb.1;Data Source=$Workbook$;Location=fetch_table_routes;Extended Properties=&quot;&quot;" command="SELECT * FROM [fetch_table_routes]"/>
  </connection>
  <connection id="2" keepAlive="1" name="Query - fetch_table_vehicles" description="Connection to the 'fetch_table_vehicles' query in the workbook." type="5" refreshedVersion="7" background="1" saveData="1">
    <dbPr connection="Provider=Microsoft.Mashup.OleDb.1;Data Source=$Workbook$;Location=fetch_table_vehicles;Extended Properties=&quot;&quot;" command="SELECT * FROM [fetch_table_vehicles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<sst xmlns="http://schemas.openxmlformats.org/spreadsheetml/2006/main" count="1666" uniqueCount="694">
  <si>
    <t>Puerto Princesa [Main Office]</t>
  </si>
  <si>
    <t>Aborlan</t>
  </si>
  <si>
    <t>Column1.origin</t>
  </si>
  <si>
    <t>Column1.destination</t>
  </si>
  <si>
    <t>El Nido</t>
  </si>
  <si>
    <t>Bubulongan</t>
  </si>
  <si>
    <t>Corong-Corong</t>
  </si>
  <si>
    <t>Maligaya</t>
  </si>
  <si>
    <t>Buena Suerte</t>
  </si>
  <si>
    <t>Masagana</t>
  </si>
  <si>
    <t>Nasigdan</t>
  </si>
  <si>
    <t>Villa Libertad</t>
  </si>
  <si>
    <t>Pasadena</t>
  </si>
  <si>
    <t>Lamoro</t>
  </si>
  <si>
    <t>Barutoan</t>
  </si>
  <si>
    <t>Bucana</t>
  </si>
  <si>
    <t>Tiniguiban</t>
  </si>
  <si>
    <t>Taytay</t>
  </si>
  <si>
    <t>Poblacion</t>
  </si>
  <si>
    <t>Arado II</t>
  </si>
  <si>
    <t>Bato</t>
  </si>
  <si>
    <t>Abongan</t>
  </si>
  <si>
    <t>Paglaum</t>
  </si>
  <si>
    <t>Libertad</t>
  </si>
  <si>
    <t>Talog</t>
  </si>
  <si>
    <t>New Quinlo/Old Quinlo</t>
  </si>
  <si>
    <t>Pularaquen/Canique</t>
  </si>
  <si>
    <t>Dumaran</t>
  </si>
  <si>
    <t>Itangil</t>
  </si>
  <si>
    <t>Tanatanaon</t>
  </si>
  <si>
    <t>Sta.Maria</t>
  </si>
  <si>
    <t>Ilian</t>
  </si>
  <si>
    <t>Danleg</t>
  </si>
  <si>
    <t>Sta.Teresita</t>
  </si>
  <si>
    <t>Magsaysay</t>
  </si>
  <si>
    <t>Casian (Island)</t>
  </si>
  <si>
    <t>Biton (Island)</t>
  </si>
  <si>
    <t>Paly (Island)</t>
  </si>
  <si>
    <t>Capayas</t>
  </si>
  <si>
    <t>Culasian</t>
  </si>
  <si>
    <t>Roxas</t>
  </si>
  <si>
    <t>Barangay 1</t>
  </si>
  <si>
    <t>Barangay 2</t>
  </si>
  <si>
    <t>Barangay 3</t>
  </si>
  <si>
    <t>Barangay 4</t>
  </si>
  <si>
    <t>Bgy. Retac, Bliss</t>
  </si>
  <si>
    <t>Caramay</t>
  </si>
  <si>
    <t>Salvacion</t>
  </si>
  <si>
    <t>Nicanor Zabala</t>
  </si>
  <si>
    <t>San Miguel</t>
  </si>
  <si>
    <t>San Jose</t>
  </si>
  <si>
    <t>Malcampo</t>
  </si>
  <si>
    <t>San Dionisio</t>
  </si>
  <si>
    <t>Abaroan</t>
  </si>
  <si>
    <t>New Cuyo</t>
  </si>
  <si>
    <t>Rizal</t>
  </si>
  <si>
    <t>Tagumpay</t>
  </si>
  <si>
    <t>Magara</t>
  </si>
  <si>
    <t>Minara</t>
  </si>
  <si>
    <t>San Nicolas</t>
  </si>
  <si>
    <t xml:space="preserve">Sandoval </t>
  </si>
  <si>
    <t xml:space="preserve">Iraan </t>
  </si>
  <si>
    <t>Dumarao</t>
  </si>
  <si>
    <t>Araceli</t>
  </si>
  <si>
    <t xml:space="preserve">Poblacion </t>
  </si>
  <si>
    <t>Tinintinan</t>
  </si>
  <si>
    <t>Cagayancillo</t>
  </si>
  <si>
    <t>Sta Cruz</t>
  </si>
  <si>
    <t>Talaga</t>
  </si>
  <si>
    <t>Mampio</t>
  </si>
  <si>
    <t>Nusa</t>
  </si>
  <si>
    <t>San Vicente</t>
  </si>
  <si>
    <t>Panindigan</t>
  </si>
  <si>
    <t>Macatumbalen</t>
  </si>
  <si>
    <t>Kemdeng</t>
  </si>
  <si>
    <t>New Agutaya</t>
  </si>
  <si>
    <t>San Isidro</t>
  </si>
  <si>
    <t>Alimanguan</t>
  </si>
  <si>
    <t>Sto Nino</t>
  </si>
  <si>
    <t>New Canipo</t>
  </si>
  <si>
    <t>Brookes Point</t>
  </si>
  <si>
    <t>Poblacion 1</t>
  </si>
  <si>
    <t>Poblacion 2 &amp; So. Balacan, Pangobilian</t>
  </si>
  <si>
    <t>So., Balacan, Moreno Subd. Pob Dist 2</t>
  </si>
  <si>
    <t>Rawland Subd. &amp; Blessed Ville,Poblacion District 2</t>
  </si>
  <si>
    <t>Edwards Subd. &amp; Jesmil Subdivision Poblacion 2</t>
  </si>
  <si>
    <t>Pangobilian National Hi-Way,So. Balacan , So. Aluluwang Pangobilan</t>
  </si>
  <si>
    <t>Bgy. Tubtub &amp; Portion Of Bgy Amas</t>
  </si>
  <si>
    <t>Portion Of Bgy. Amas, Bgy. Pangobilian, &amp; So. Paratungon</t>
  </si>
  <si>
    <t>Portion Of Paratungon &amp; Pangobilian Proper</t>
  </si>
  <si>
    <t>So. Suring, So. Mati, So Babangon, Pangobilian</t>
  </si>
  <si>
    <t>So. Suring 2, Bgy. Mainit, Bgy.Imulnod</t>
  </si>
  <si>
    <t>Bgy. Mainit, So.Raang, Bgy Aribungos, So. Tigaplan Aribungos</t>
  </si>
  <si>
    <t>So. Baribe-Aribungos</t>
  </si>
  <si>
    <t>So. Raang &amp; So. Cabar, Aribungos</t>
  </si>
  <si>
    <t>So. Lada, So. Suring 1, So. Pangobilian, So Camilit Ipilan</t>
  </si>
  <si>
    <t>So. Lada, Pangobilian, So. Tagusao, So. Pintasan, Barong Barong</t>
  </si>
  <si>
    <t>So.Candis, So. Malulunan, Proper Barong-Barong, So. Curanga, Proper Ipilan</t>
  </si>
  <si>
    <t>Bgy. Proper &amp; So. Linao Ipilan</t>
  </si>
  <si>
    <t>So. Linao Ipilan, So. Pitik-Pitik, So. Limbasan, Relocation, Ipilan &amp; Mambalot Portion</t>
  </si>
  <si>
    <t>Prk 2,3,4, 5,6 &amp; 7, Rizal, Mambalot</t>
  </si>
  <si>
    <t>So. Lapiac Ipilan, Maasin Proper, New Panay, Prk 6, Maasin</t>
  </si>
  <si>
    <t>Proper Maasin, Purok 7 Maasin, So Abubakar Calasaguen</t>
  </si>
  <si>
    <t>Proper Calasaguen, Prk 6 &amp; 7 Calasaguen</t>
  </si>
  <si>
    <t>So. Matangkay, So Cadjasan,Venturanza, Oring Oring Proper,So. Tagpirara, Saraza</t>
  </si>
  <si>
    <t>So. Tagpirara, Saraza, So. Tabud, Saraza, So. Tamlang Sarazaso. Jurusan, Saraza</t>
  </si>
  <si>
    <t>So. Tamlang, So Cabangaan, Sea Shore,Samariniana Proper, Tagpait Salogon</t>
  </si>
  <si>
    <t>So. Magugurang, So. Kiniurong Salogon Proper,</t>
  </si>
  <si>
    <t>So. Locon, So. Aplaya,So. Babanga, So.  Idiok, So. Bulnok, So. Pansor, Proper Malis</t>
  </si>
  <si>
    <t>So. Tagbarungis, Inagawan Sub-Colony, Taytayin, Inagawan Interior</t>
  </si>
  <si>
    <t>Inagawan Interior, Calibugan, Escalona, Alit-Alit, Parina Kamuning</t>
  </si>
  <si>
    <t>Marambuaya, Kamuning, Tagumpay,</t>
  </si>
  <si>
    <t>Isaub ( Del-At,Tagpit, Centro, Linao )</t>
  </si>
  <si>
    <t xml:space="preserve">Isaub (Linao, Maligaya Village ) Sagpangan ( Centro,  Maringit, Maligaya) </t>
  </si>
  <si>
    <t xml:space="preserve">Sagpangan (Katuwang Tuwangan, Maligaya ) Iraan ( Mayligan, Mamonmon, Centro ) </t>
  </si>
  <si>
    <t xml:space="preserve">San Juan ( Marikit, Titibawan ) Iraan Proper, Mabini, Gogognan </t>
  </si>
  <si>
    <t>Mabini, Magbabadil, Barake</t>
  </si>
  <si>
    <t>Magbabadil ( So. Parang ) Cabigaan</t>
  </si>
  <si>
    <t>Apis, Cabigaan, San Juan</t>
  </si>
  <si>
    <t xml:space="preserve">San Juan , Old Site </t>
  </si>
  <si>
    <t>Poblacion , Tagpait</t>
  </si>
  <si>
    <t>Tagpait, Gogognan, Magsaysay</t>
  </si>
  <si>
    <t>Magsaysay, Aplaya, Tagbariri, Valderama</t>
  </si>
  <si>
    <t>Marimbras, Maasin Plaridel, Tigman</t>
  </si>
  <si>
    <t>Tigman , Plaridel</t>
  </si>
  <si>
    <t>Plaridel, Km81, Jose Rizal Line 6</t>
  </si>
  <si>
    <t>Jose Rizal, Apoc-Apoc</t>
  </si>
  <si>
    <t>Paleco Employee</t>
  </si>
  <si>
    <t>Poblacion I</t>
  </si>
  <si>
    <t>Poblacion 2</t>
  </si>
  <si>
    <t>Poblacion 3</t>
  </si>
  <si>
    <t>Poblacion 4</t>
  </si>
  <si>
    <t>Pbf, Bigloads, Military</t>
  </si>
  <si>
    <t>Poblacion 5</t>
  </si>
  <si>
    <t>Poblacion 6</t>
  </si>
  <si>
    <t>Poblacion 7</t>
  </si>
  <si>
    <t>Poblacion 8</t>
  </si>
  <si>
    <t>Bgy. San Isidro</t>
  </si>
  <si>
    <t>Poblacion 9</t>
  </si>
  <si>
    <t>Poblacion 10</t>
  </si>
  <si>
    <t>Poblacion 11</t>
  </si>
  <si>
    <t>Poblacion 12</t>
  </si>
  <si>
    <t>Poblacion 13</t>
  </si>
  <si>
    <t>Poblacion 14</t>
  </si>
  <si>
    <t>Malvar / Pub Mkt</t>
  </si>
  <si>
    <t>Poblacion 15</t>
  </si>
  <si>
    <t>Poblacion 16</t>
  </si>
  <si>
    <t>Poblacion 17</t>
  </si>
  <si>
    <t>Poblacion 18</t>
  </si>
  <si>
    <t>Poblacion 19</t>
  </si>
  <si>
    <t>Poblacion 20</t>
  </si>
  <si>
    <t>Barrio 1</t>
  </si>
  <si>
    <t>Barrio 2</t>
  </si>
  <si>
    <t>Barrio 3</t>
  </si>
  <si>
    <t>Barrio 4</t>
  </si>
  <si>
    <t>Barrio 5</t>
  </si>
  <si>
    <t>Barrio 6</t>
  </si>
  <si>
    <t>Bapa - Sicsican</t>
  </si>
  <si>
    <t>Sicsican Housing</t>
  </si>
  <si>
    <t>Bgy. Luzviminda</t>
  </si>
  <si>
    <t>Golden Valley Sicsican</t>
  </si>
  <si>
    <t>Bgy. Mangingisda</t>
  </si>
  <si>
    <t>Bgy. Montible</t>
  </si>
  <si>
    <t>Honda Bay, Sta. Lourdes</t>
  </si>
  <si>
    <t>Tagburos Aplaya</t>
  </si>
  <si>
    <t>Typoco, San Manuel</t>
  </si>
  <si>
    <t>Bapa-Ellen View</t>
  </si>
  <si>
    <t>Anonang Sicsican</t>
  </si>
  <si>
    <t>Visapa, Irawan</t>
  </si>
  <si>
    <t>Busngol</t>
  </si>
  <si>
    <t>Fishermans Village</t>
  </si>
  <si>
    <t>Sunrise, San Jose</t>
  </si>
  <si>
    <t>Sta Cruz/Bacungan</t>
  </si>
  <si>
    <t>Bgy. Salvacion</t>
  </si>
  <si>
    <t>Bgy. Manalo</t>
  </si>
  <si>
    <t>Bgy. Maruyugon</t>
  </si>
  <si>
    <t>Bgy. Lucbuan</t>
  </si>
  <si>
    <t>Bgy. Maoyon</t>
  </si>
  <si>
    <t>Bgy Mangingisda</t>
  </si>
  <si>
    <t>Bgy. Bahile</t>
  </si>
  <si>
    <t>Bgy. Babuyan</t>
  </si>
  <si>
    <t>Bgy. San Rafael</t>
  </si>
  <si>
    <t>Bgy. Tanabag</t>
  </si>
  <si>
    <t>Bgy. Concepcion</t>
  </si>
  <si>
    <t>Bgy. Binduyan</t>
  </si>
  <si>
    <t>Bgy. Langogan</t>
  </si>
  <si>
    <t>Bgy. Macarascas</t>
  </si>
  <si>
    <t>Bukana, Bgy. Iwahig</t>
  </si>
  <si>
    <t>Bgy. Napsan</t>
  </si>
  <si>
    <t>Bapa</t>
  </si>
  <si>
    <t>Quezon</t>
  </si>
  <si>
    <t>Poblacion, Quezon</t>
  </si>
  <si>
    <t>Employees/Send To Main</t>
  </si>
  <si>
    <t>Poblacion, Rizal</t>
  </si>
  <si>
    <t>Narra</t>
  </si>
  <si>
    <t>Antipuluan</t>
  </si>
  <si>
    <t>Panacan 2</t>
  </si>
  <si>
    <t>Panacan 1</t>
  </si>
  <si>
    <t>Elvita</t>
  </si>
  <si>
    <t>Taritien</t>
  </si>
  <si>
    <t>Malatgao</t>
  </si>
  <si>
    <t>Malinao</t>
  </si>
  <si>
    <t>Tinagong Dagat</t>
  </si>
  <si>
    <t>Sandoval</t>
  </si>
  <si>
    <t>Estrella Village</t>
  </si>
  <si>
    <t>Apo-Aporawan</t>
  </si>
  <si>
    <t>Bagong Sikat</t>
  </si>
  <si>
    <t>Batang Batang</t>
  </si>
  <si>
    <t>P. Urduja</t>
  </si>
  <si>
    <t>Teresa</t>
  </si>
  <si>
    <t>Dumanguena</t>
  </si>
  <si>
    <t>Calatigas</t>
  </si>
  <si>
    <t>Aramaywan</t>
  </si>
  <si>
    <t>Tacras</t>
  </si>
  <si>
    <t>Burirao</t>
  </si>
  <si>
    <t>Abo-Abo</t>
  </si>
  <si>
    <t>Ipilan</t>
  </si>
  <si>
    <t>Isumbo</t>
  </si>
  <si>
    <t>Panitian</t>
  </si>
  <si>
    <t>Labog</t>
  </si>
  <si>
    <t>Pajo Area</t>
  </si>
  <si>
    <t xml:space="preserve">Balite </t>
  </si>
  <si>
    <t>Purok Pagkakaisa</t>
  </si>
  <si>
    <t>Core</t>
  </si>
  <si>
    <t>Mahogany</t>
  </si>
  <si>
    <t>Trucut</t>
  </si>
  <si>
    <t>Purok Pakpaklawin</t>
  </si>
  <si>
    <t>Purok Katutubo</t>
  </si>
  <si>
    <t>Ranho #1</t>
  </si>
  <si>
    <t>Sitio Malapandig</t>
  </si>
  <si>
    <t>Ranho #2</t>
  </si>
  <si>
    <t>Gomiok Punta Baja</t>
  </si>
  <si>
    <t>Ararab</t>
  </si>
  <si>
    <t>Brgy Iraan</t>
  </si>
  <si>
    <t>Purok Maligay</t>
  </si>
  <si>
    <t>Libtong</t>
  </si>
  <si>
    <t>Purok Nagkakaisa</t>
  </si>
  <si>
    <t>Salong-Song</t>
  </si>
  <si>
    <t>Pk Liway-Way</t>
  </si>
  <si>
    <t>Tribal Katutubo</t>
  </si>
  <si>
    <t>Base</t>
  </si>
  <si>
    <t>Column1.area</t>
  </si>
  <si>
    <t>Column1.route</t>
  </si>
  <si>
    <t>0160</t>
  </si>
  <si>
    <t>nset</t>
  </si>
  <si>
    <t>dist_destination</t>
  </si>
  <si>
    <t>Requested_by</t>
  </si>
  <si>
    <t>Plate_No</t>
  </si>
  <si>
    <t>Purpose</t>
  </si>
  <si>
    <t>Sequence_No</t>
  </si>
  <si>
    <t>Destination</t>
  </si>
  <si>
    <t>Date</t>
  </si>
  <si>
    <t>Validity</t>
  </si>
  <si>
    <t>Column1.plate_no</t>
  </si>
  <si>
    <t>Column1.brand</t>
  </si>
  <si>
    <t>Column1.model</t>
  </si>
  <si>
    <t>Column1.km_per_liter</t>
  </si>
  <si>
    <t>Column1.ownership</t>
  </si>
  <si>
    <t xml:space="preserve">306 VUA </t>
  </si>
  <si>
    <t>Honda</t>
  </si>
  <si>
    <t>XRM 125 FI</t>
  </si>
  <si>
    <t>30.00</t>
  </si>
  <si>
    <t>coop-owned</t>
  </si>
  <si>
    <t xml:space="preserve">307 VUA </t>
  </si>
  <si>
    <t xml:space="preserve">308 VUA </t>
  </si>
  <si>
    <t xml:space="preserve">309 VUA </t>
  </si>
  <si>
    <t xml:space="preserve">310 VUA </t>
  </si>
  <si>
    <t>XRM 125</t>
  </si>
  <si>
    <t>311 VUA</t>
  </si>
  <si>
    <t xml:space="preserve">312 VUA </t>
  </si>
  <si>
    <t>313 VUA</t>
  </si>
  <si>
    <t xml:space="preserve">314 VUA </t>
  </si>
  <si>
    <t xml:space="preserve">315 VUA </t>
  </si>
  <si>
    <t xml:space="preserve">317 VUA </t>
  </si>
  <si>
    <t>324 VOE</t>
  </si>
  <si>
    <t>325 VOE</t>
  </si>
  <si>
    <t>327 VOE</t>
  </si>
  <si>
    <t>328 VOE</t>
  </si>
  <si>
    <t xml:space="preserve">331 VOE </t>
  </si>
  <si>
    <t xml:space="preserve">333 VOE </t>
  </si>
  <si>
    <t xml:space="preserve">476 VUA </t>
  </si>
  <si>
    <t>477 VUA</t>
  </si>
  <si>
    <t xml:space="preserve">480 VUA </t>
  </si>
  <si>
    <t xml:space="preserve">481 VUA </t>
  </si>
  <si>
    <t xml:space="preserve">485 VUA </t>
  </si>
  <si>
    <t>561 VIQ</t>
  </si>
  <si>
    <t xml:space="preserve">816 VUA </t>
  </si>
  <si>
    <t>DA-74270</t>
  </si>
  <si>
    <t xml:space="preserve">DA-74273 </t>
  </si>
  <si>
    <t>DA-74276</t>
  </si>
  <si>
    <t>DA-74284</t>
  </si>
  <si>
    <t xml:space="preserve">DA-74562 </t>
  </si>
  <si>
    <t xml:space="preserve">DA-74614 </t>
  </si>
  <si>
    <t>DA-74622</t>
  </si>
  <si>
    <t>DA-74631</t>
  </si>
  <si>
    <t>DA-76606</t>
  </si>
  <si>
    <t>DC-88515</t>
  </si>
  <si>
    <t>DC-88789</t>
  </si>
  <si>
    <t>FA-09874</t>
  </si>
  <si>
    <t>FC 0211</t>
  </si>
  <si>
    <t>FC 0275</t>
  </si>
  <si>
    <t>FC 1268</t>
  </si>
  <si>
    <t>TMX 155</t>
  </si>
  <si>
    <t>FC-0207</t>
  </si>
  <si>
    <t>FC-0210</t>
  </si>
  <si>
    <t>FC-0213</t>
  </si>
  <si>
    <t>FC-0990</t>
  </si>
  <si>
    <t>FC-1101</t>
  </si>
  <si>
    <t>FC-1102</t>
  </si>
  <si>
    <t>FC-1151</t>
  </si>
  <si>
    <t xml:space="preserve">GC-63501 </t>
  </si>
  <si>
    <t>GC-65276</t>
  </si>
  <si>
    <t>GC-65374</t>
  </si>
  <si>
    <t>GC-65376</t>
  </si>
  <si>
    <t>GC-65456</t>
  </si>
  <si>
    <t>TMX 150</t>
  </si>
  <si>
    <t>GD-48615</t>
  </si>
  <si>
    <t xml:space="preserve">GD-48621 </t>
  </si>
  <si>
    <t>GE-93280</t>
  </si>
  <si>
    <t xml:space="preserve">GE-93282 </t>
  </si>
  <si>
    <t>TST-1234</t>
  </si>
  <si>
    <t>Suzuki</t>
  </si>
  <si>
    <t>Raider150</t>
  </si>
  <si>
    <t>private</t>
  </si>
  <si>
    <t xml:space="preserve">VAD-969 </t>
  </si>
  <si>
    <t xml:space="preserve">VB-8461 </t>
  </si>
  <si>
    <t xml:space="preserve">VB-8462 </t>
  </si>
  <si>
    <t>VB-8467</t>
  </si>
  <si>
    <t>VCT 704</t>
  </si>
  <si>
    <t>VD-7428</t>
  </si>
  <si>
    <t>CFT 125</t>
  </si>
  <si>
    <t>VDB-354</t>
  </si>
  <si>
    <t>VDB-356</t>
  </si>
  <si>
    <t>VG-9015</t>
  </si>
  <si>
    <t>VG-9016</t>
  </si>
  <si>
    <t>VG-9120</t>
  </si>
  <si>
    <t>VG-9126</t>
  </si>
  <si>
    <t>VH-2103</t>
  </si>
  <si>
    <t>VIQ-557</t>
  </si>
  <si>
    <t xml:space="preserve">VIQ-558/ </t>
  </si>
  <si>
    <t>VIQ-564</t>
  </si>
  <si>
    <t>VIQ-566</t>
  </si>
  <si>
    <t>VJ-6098</t>
  </si>
  <si>
    <t>VJ-6807</t>
  </si>
  <si>
    <t xml:space="preserve">VUA 475 </t>
  </si>
  <si>
    <t xml:space="preserve">VUA 479 </t>
  </si>
  <si>
    <t>XT-5154</t>
  </si>
  <si>
    <t>XT-5163</t>
  </si>
  <si>
    <t>Route</t>
  </si>
  <si>
    <t>route_select</t>
  </si>
  <si>
    <t>El Nido_Bubulongan</t>
  </si>
  <si>
    <t>El Nido_Corong-Corong</t>
  </si>
  <si>
    <t>El Nido_Maligaya</t>
  </si>
  <si>
    <t>El Nido_Buena Suerte</t>
  </si>
  <si>
    <t>El Nido_Masagana</t>
  </si>
  <si>
    <t>El Nido_Nasigdan</t>
  </si>
  <si>
    <t>El Nido_Villa Libertad</t>
  </si>
  <si>
    <t>El Nido_Pasadena</t>
  </si>
  <si>
    <t>El Nido_Lamoro</t>
  </si>
  <si>
    <t>El Nido_Barutoan</t>
  </si>
  <si>
    <t>El Nido_Bucana</t>
  </si>
  <si>
    <t>El Nido_Tiniguiban</t>
  </si>
  <si>
    <t>Taytay_Poblacion</t>
  </si>
  <si>
    <t>Taytay_Arado II</t>
  </si>
  <si>
    <t>Taytay_Bato</t>
  </si>
  <si>
    <t>Taytay_Abongan</t>
  </si>
  <si>
    <t>Taytay_Paglaum</t>
  </si>
  <si>
    <t>Taytay_Libertad</t>
  </si>
  <si>
    <t>Taytay_Talog</t>
  </si>
  <si>
    <t>Taytay_New Quinlo/Old Quinlo</t>
  </si>
  <si>
    <t>Taytay_Pularaquen/Canique</t>
  </si>
  <si>
    <t>Dumaran_Itangil</t>
  </si>
  <si>
    <t>Dumaran_Tanatanaon</t>
  </si>
  <si>
    <t>Dumaran_Sta.Maria</t>
  </si>
  <si>
    <t>Dumaran_Ilian</t>
  </si>
  <si>
    <t>Dumaran_Danleg</t>
  </si>
  <si>
    <t>Dumaran_Sta.Teresita</t>
  </si>
  <si>
    <t>Dumaran_Magsaysay</t>
  </si>
  <si>
    <t>Dumaran_Casian (Island)</t>
  </si>
  <si>
    <t>Dumaran_Biton (Island)</t>
  </si>
  <si>
    <t>Dumaran_Paly (Island)</t>
  </si>
  <si>
    <t>Dumaran_Capayas</t>
  </si>
  <si>
    <t>Dumaran_Culasian</t>
  </si>
  <si>
    <t>Roxas_Barangay 1</t>
  </si>
  <si>
    <t>Roxas_Barangay 2</t>
  </si>
  <si>
    <t>Roxas_Barangay 3</t>
  </si>
  <si>
    <t>Roxas_Barangay 4</t>
  </si>
  <si>
    <t>Roxas_Bgy. Retac, Bliss</t>
  </si>
  <si>
    <t>Roxas_Caramay</t>
  </si>
  <si>
    <t>Roxas_Salvacion</t>
  </si>
  <si>
    <t>Roxas_Nicanor Zabala</t>
  </si>
  <si>
    <t>Roxas_San Miguel</t>
  </si>
  <si>
    <t>Roxas_San Jose</t>
  </si>
  <si>
    <t>Roxas_Malcampo</t>
  </si>
  <si>
    <t>Roxas_San Dionisio</t>
  </si>
  <si>
    <t>Roxas_Abaroan</t>
  </si>
  <si>
    <t>Roxas_New Cuyo</t>
  </si>
  <si>
    <t>Roxas_Rizal</t>
  </si>
  <si>
    <t>Roxas_Tagumpay</t>
  </si>
  <si>
    <t>Roxas_Magara</t>
  </si>
  <si>
    <t>Roxas_Minara</t>
  </si>
  <si>
    <t>Roxas_San Nicolas</t>
  </si>
  <si>
    <t xml:space="preserve">Roxas_Sandoval </t>
  </si>
  <si>
    <t xml:space="preserve">Roxas_Iraan </t>
  </si>
  <si>
    <t>Roxas_Dumarao</t>
  </si>
  <si>
    <t xml:space="preserve">Araceli_Poblacion </t>
  </si>
  <si>
    <t>Araceli_Tinintinan</t>
  </si>
  <si>
    <t>Cagayancillo_Poblacion</t>
  </si>
  <si>
    <t>Cagayancillo_Sta Cruz</t>
  </si>
  <si>
    <t>Cagayancillo_Talaga</t>
  </si>
  <si>
    <t>Cagayancillo_Mampio</t>
  </si>
  <si>
    <t>Cagayancillo_Nusa</t>
  </si>
  <si>
    <t>San Vicente_Poblacion</t>
  </si>
  <si>
    <t>San Vicente_Panindigan</t>
  </si>
  <si>
    <t>San Vicente_Macatumbalen</t>
  </si>
  <si>
    <t>San Vicente_Kemdeng</t>
  </si>
  <si>
    <t>San Vicente_New Agutaya</t>
  </si>
  <si>
    <t>San Vicente_San Isidro</t>
  </si>
  <si>
    <t>San Vicente_Alimanguan</t>
  </si>
  <si>
    <t>San Vicente_Sto Nino</t>
  </si>
  <si>
    <t>San Vicente_New Canipo</t>
  </si>
  <si>
    <t>Brookes Point_Poblacion 1</t>
  </si>
  <si>
    <t>Brookes Point_Poblacion 2 &amp; So. Balacan, Pangobilian</t>
  </si>
  <si>
    <t>Brookes Point_So., Balacan, Moreno Subd. Pob Dist 2</t>
  </si>
  <si>
    <t>Brookes Point_Rawland Subd. &amp; Blessed Ville,Poblacion District 2</t>
  </si>
  <si>
    <t>Brookes Point_Edwards Subd. &amp; Jesmil Subdivision Poblacion 2</t>
  </si>
  <si>
    <t>Brookes Point_Pangobilian National Hi-Way,So. Balacan , So. Aluluwang Pangobilan</t>
  </si>
  <si>
    <t>Brookes Point_Bgy. Tubtub &amp; Portion Of Bgy Amas</t>
  </si>
  <si>
    <t>Brookes Point_Portion Of Bgy. Amas, Bgy. Pangobilian, &amp; So. Paratungon</t>
  </si>
  <si>
    <t>Brookes Point_Portion Of Paratungon &amp; Pangobilian Proper</t>
  </si>
  <si>
    <t>Brookes Point_So. Suring, So. Mati, So Babangon, Pangobilian</t>
  </si>
  <si>
    <t>Brookes Point_So. Suring 2, Bgy. Mainit, Bgy.Imulnod</t>
  </si>
  <si>
    <t>Brookes Point_Bgy. Mainit, So.Raang, Bgy Aribungos, So. Tigaplan Aribungos</t>
  </si>
  <si>
    <t>Brookes Point_So. Baribe-Aribungos</t>
  </si>
  <si>
    <t>Brookes Point_So. Raang &amp; So. Cabar, Aribungos</t>
  </si>
  <si>
    <t>Brookes Point_So. Lada, So. Suring 1, So. Pangobilian, So Camilit Ipilan</t>
  </si>
  <si>
    <t>Brookes Point_So. Lada, Pangobilian, So. Tagusao, So. Pintasan, Barong Barong</t>
  </si>
  <si>
    <t>Brookes Point_So.Candis, So. Malulunan, Proper Barong-Barong, So. Curanga, Proper Ipilan</t>
  </si>
  <si>
    <t>Brookes Point_Bgy. Proper &amp; So. Linao Ipilan</t>
  </si>
  <si>
    <t>Brookes Point_So. Linao Ipilan, So. Pitik-Pitik, So. Limbasan, Relocation, Ipilan &amp; Mambalot Portion</t>
  </si>
  <si>
    <t>Brookes Point_Prk 2,3,4, 5,6 &amp; 7, Rizal, Mambalot</t>
  </si>
  <si>
    <t>Brookes Point_So. Lapiac Ipilan, Maasin Proper, New Panay, Prk 6, Maasin</t>
  </si>
  <si>
    <t>Brookes Point_Proper Maasin, Purok 7 Maasin, So Abubakar Calasaguen</t>
  </si>
  <si>
    <t>Brookes Point_Proper Calasaguen, Prk 6 &amp; 7 Calasaguen</t>
  </si>
  <si>
    <t>Brookes Point_So. Matangkay, So Cadjasan,Venturanza, Oring Oring Proper,So. Tagpirara, Saraza</t>
  </si>
  <si>
    <t>Brookes Point_So. Tagpirara, Saraza, So. Tabud, Saraza, So. Tamlang Sarazaso. Jurusan, Saraza</t>
  </si>
  <si>
    <t>Brookes Point_So. Tamlang, So Cabangaan, Sea Shore,Samariniana Proper, Tagpait Salogon</t>
  </si>
  <si>
    <t>Brookes Point_So. Magugurang, So. Kiniurong Salogon Proper,</t>
  </si>
  <si>
    <t>Brookes Point_So. Locon, So. Aplaya,So. Babanga, So.  Idiok, So. Bulnok, So. Pansor, Proper Malis</t>
  </si>
  <si>
    <t>Aborlan_So. Tagbarungis, Inagawan Sub-Colony, Taytayin, Inagawan Interior</t>
  </si>
  <si>
    <t>Aborlan_Inagawan Interior, Calibugan, Escalona, Alit-Alit, Parina Kamuning</t>
  </si>
  <si>
    <t>Aborlan_Marambuaya, Kamuning, Tagumpay,</t>
  </si>
  <si>
    <t>Aborlan_Isaub ( Del-At,Tagpit, Centro, Linao )</t>
  </si>
  <si>
    <t xml:space="preserve">Aborlan_Isaub (Linao, Maligaya Village ) Sagpangan ( Centro,  Maringit, Maligaya) </t>
  </si>
  <si>
    <t xml:space="preserve">Aborlan_Sagpangan (Katuwang Tuwangan, Maligaya ) Iraan ( Mayligan, Mamonmon, Centro ) </t>
  </si>
  <si>
    <t xml:space="preserve">Aborlan_San Juan ( Marikit, Titibawan ) Iraan Proper, Mabini, Gogognan </t>
  </si>
  <si>
    <t>Aborlan_Mabini, Magbabadil, Barake</t>
  </si>
  <si>
    <t>Aborlan_Magbabadil ( So. Parang ) Cabigaan</t>
  </si>
  <si>
    <t>Aborlan_Apis, Cabigaan, San Juan</t>
  </si>
  <si>
    <t xml:space="preserve">Aborlan_San Juan , Old Site </t>
  </si>
  <si>
    <t>Aborlan_Poblacion</t>
  </si>
  <si>
    <t>Aborlan_Poblacion , Tagpait</t>
  </si>
  <si>
    <t>Aborlan_Tagpait, Gogognan, Magsaysay</t>
  </si>
  <si>
    <t>Aborlan_Magsaysay, Aplaya, Tagbariri, Valderama</t>
  </si>
  <si>
    <t>Aborlan_Marimbras, Maasin Plaridel, Tigman</t>
  </si>
  <si>
    <t>Aborlan_Tigman , Plaridel</t>
  </si>
  <si>
    <t>Aborlan_Plaridel, Km81, Jose Rizal Line 6</t>
  </si>
  <si>
    <t>Aborlan_Jose Rizal, Apoc-Apoc</t>
  </si>
  <si>
    <t>Puerto Princesa [Main Office]_Paleco Employee</t>
  </si>
  <si>
    <t>Puerto Princesa [Main Office]_Poblacion I</t>
  </si>
  <si>
    <t>Puerto Princesa [Main Office]_Poblacion 2</t>
  </si>
  <si>
    <t>Puerto Princesa [Main Office]_Poblacion 3</t>
  </si>
  <si>
    <t>Puerto Princesa [Main Office]_Poblacion 4</t>
  </si>
  <si>
    <t>Puerto Princesa [Main Office]_Pbf, Bigloads, Military</t>
  </si>
  <si>
    <t>Puerto Princesa [Main Office]_Poblacion 5</t>
  </si>
  <si>
    <t>Puerto Princesa [Main Office]_Poblacion 6</t>
  </si>
  <si>
    <t>Puerto Princesa [Main Office]_Poblacion 7</t>
  </si>
  <si>
    <t>Puerto Princesa [Main Office]_Poblacion 8</t>
  </si>
  <si>
    <t>Puerto Princesa [Main Office]_Bgy. San Isidro</t>
  </si>
  <si>
    <t>Puerto Princesa [Main Office]_Poblacion 9</t>
  </si>
  <si>
    <t>Puerto Princesa [Main Office]_Poblacion 10</t>
  </si>
  <si>
    <t>Puerto Princesa [Main Office]_Poblacion 11</t>
  </si>
  <si>
    <t>Puerto Princesa [Main Office]_Poblacion 12</t>
  </si>
  <si>
    <t>Puerto Princesa [Main Office]_Poblacion 13</t>
  </si>
  <si>
    <t>Puerto Princesa [Main Office]_Poblacion 14</t>
  </si>
  <si>
    <t>Puerto Princesa [Main Office]_Malvar / Pub Mkt</t>
  </si>
  <si>
    <t>Puerto Princesa [Main Office]_Poblacion 15</t>
  </si>
  <si>
    <t>Puerto Princesa [Main Office]_Poblacion 16</t>
  </si>
  <si>
    <t>Puerto Princesa [Main Office]_Poblacion 17</t>
  </si>
  <si>
    <t>Puerto Princesa [Main Office]_Poblacion 18</t>
  </si>
  <si>
    <t>Puerto Princesa [Main Office]_Poblacion 19</t>
  </si>
  <si>
    <t>Puerto Princesa [Main Office]_Poblacion 20</t>
  </si>
  <si>
    <t>Puerto Princesa [Main Office]_Barrio 1</t>
  </si>
  <si>
    <t>Puerto Princesa [Main Office]_Barrio 2</t>
  </si>
  <si>
    <t>Puerto Princesa [Main Office]_Barrio 3</t>
  </si>
  <si>
    <t>Puerto Princesa [Main Office]_Barrio 4</t>
  </si>
  <si>
    <t>Puerto Princesa [Main Office]_Barrio 5</t>
  </si>
  <si>
    <t>Puerto Princesa [Main Office]_Barrio 6</t>
  </si>
  <si>
    <t>Puerto Princesa [Main Office]_Bapa - Sicsican</t>
  </si>
  <si>
    <t>Puerto Princesa [Main Office]_Sicsican Housing</t>
  </si>
  <si>
    <t>Puerto Princesa [Main Office]_Bgy. Luzviminda</t>
  </si>
  <si>
    <t>Puerto Princesa [Main Office]_Golden Valley Sicsican</t>
  </si>
  <si>
    <t>Puerto Princesa [Main Office]_Bgy. Mangingisda</t>
  </si>
  <si>
    <t>Puerto Princesa [Main Office]_Bgy. Montible</t>
  </si>
  <si>
    <t>Puerto Princesa [Main Office]_Honda Bay, Sta. Lourdes</t>
  </si>
  <si>
    <t>Puerto Princesa [Main Office]_Tagburos Aplaya</t>
  </si>
  <si>
    <t>Puerto Princesa [Main Office]_Typoco, San Manuel</t>
  </si>
  <si>
    <t>Puerto Princesa [Main Office]_Bapa-Ellen View</t>
  </si>
  <si>
    <t>Puerto Princesa [Main Office]_Anonang Sicsican</t>
  </si>
  <si>
    <t>Puerto Princesa [Main Office]_Visapa, Irawan</t>
  </si>
  <si>
    <t>Puerto Princesa [Main Office]_Busngol</t>
  </si>
  <si>
    <t>Puerto Princesa [Main Office]_Fishermans Village</t>
  </si>
  <si>
    <t>Puerto Princesa [Main Office]_Sunrise, San Jose</t>
  </si>
  <si>
    <t>Puerto Princesa [Main Office]_Sta Cruz/Bacungan</t>
  </si>
  <si>
    <t>Puerto Princesa [Main Office]_Bgy. Salvacion</t>
  </si>
  <si>
    <t>Puerto Princesa [Main Office]_Bgy. Manalo</t>
  </si>
  <si>
    <t>Puerto Princesa [Main Office]_Bgy. Maruyugon</t>
  </si>
  <si>
    <t>Puerto Princesa [Main Office]_Bgy. Lucbuan</t>
  </si>
  <si>
    <t>Puerto Princesa [Main Office]_Bgy. Maoyon</t>
  </si>
  <si>
    <t>Puerto Princesa [Main Office]_Bgy Mangingisda</t>
  </si>
  <si>
    <t>Puerto Princesa [Main Office]_Bgy. Bahile</t>
  </si>
  <si>
    <t>Puerto Princesa [Main Office]_Bgy. Babuyan</t>
  </si>
  <si>
    <t>Puerto Princesa [Main Office]_Bgy. San Rafael</t>
  </si>
  <si>
    <t>Puerto Princesa [Main Office]_Bgy. Tanabag</t>
  </si>
  <si>
    <t>Puerto Princesa [Main Office]_Bgy. Concepcion</t>
  </si>
  <si>
    <t>Puerto Princesa [Main Office]_Bgy. Binduyan</t>
  </si>
  <si>
    <t>Puerto Princesa [Main Office]_Bgy. Langogan</t>
  </si>
  <si>
    <t>Puerto Princesa [Main Office]_Bgy. Macarascas</t>
  </si>
  <si>
    <t>Puerto Princesa [Main Office]_Bukana, Bgy. Iwahig</t>
  </si>
  <si>
    <t>Puerto Princesa [Main Office]_Bgy. Napsan</t>
  </si>
  <si>
    <t>Puerto Princesa [Main Office]_Bapa</t>
  </si>
  <si>
    <t>Quezon_Poblacion, Quezon</t>
  </si>
  <si>
    <t>Quezon_Quezon</t>
  </si>
  <si>
    <t>Quezon_Employees/Send To Main</t>
  </si>
  <si>
    <t>Rizal_Poblacion, Rizal</t>
  </si>
  <si>
    <t>Narra_Antipuluan</t>
  </si>
  <si>
    <t>Narra_Panacan 2</t>
  </si>
  <si>
    <t>Narra_Poblacion</t>
  </si>
  <si>
    <t>Narra_Panacan 1</t>
  </si>
  <si>
    <t>Narra_Elvita</t>
  </si>
  <si>
    <t>Narra_Taritien</t>
  </si>
  <si>
    <t>Narra_Malatgao</t>
  </si>
  <si>
    <t>Narra_Malinao</t>
  </si>
  <si>
    <t>Narra_Tinagong Dagat</t>
  </si>
  <si>
    <t>Narra_Sandoval</t>
  </si>
  <si>
    <t>Narra_Estrella Village</t>
  </si>
  <si>
    <t>Narra_Apo-Aporawan</t>
  </si>
  <si>
    <t>Narra_Bagong Sikat</t>
  </si>
  <si>
    <t>Narra_Batang Batang</t>
  </si>
  <si>
    <t>Narra_P. Urduja</t>
  </si>
  <si>
    <t>Narra_Teresa</t>
  </si>
  <si>
    <t>Narra_San Isidro</t>
  </si>
  <si>
    <t>Narra_Dumanguena</t>
  </si>
  <si>
    <t>Narra_Calatigas</t>
  </si>
  <si>
    <t>Narra_Aramaywan</t>
  </si>
  <si>
    <t>Narra_Tacras</t>
  </si>
  <si>
    <t>Narra_Burirao</t>
  </si>
  <si>
    <t>Narra_Abo-Abo</t>
  </si>
  <si>
    <t>Narra_Ipilan</t>
  </si>
  <si>
    <t>Narra_Isumbo</t>
  </si>
  <si>
    <t>Narra_Panitian</t>
  </si>
  <si>
    <t>Narra_Labog</t>
  </si>
  <si>
    <t>Rizal_Pajo Area</t>
  </si>
  <si>
    <t xml:space="preserve">Rizal_Balite </t>
  </si>
  <si>
    <t>Rizal_Purok Pagkakaisa</t>
  </si>
  <si>
    <t>Rizal_Core</t>
  </si>
  <si>
    <t>Rizal_Poblacion</t>
  </si>
  <si>
    <t>Rizal_Mahogany</t>
  </si>
  <si>
    <t>Rizal_Trucut</t>
  </si>
  <si>
    <t>Rizal_Purok Pakpaklawin</t>
  </si>
  <si>
    <t>Rizal_Purok Katutubo</t>
  </si>
  <si>
    <t>Rizal_Ranho #1</t>
  </si>
  <si>
    <t>Rizal_Sitio Malapandig</t>
  </si>
  <si>
    <t>Rizal_Ranho #2</t>
  </si>
  <si>
    <t>Rizal_Gomiok Punta Baja</t>
  </si>
  <si>
    <t>Rizal_Ararab</t>
  </si>
  <si>
    <t>Rizal_Brgy Iraan</t>
  </si>
  <si>
    <t>Rizal_Purok Maligay</t>
  </si>
  <si>
    <t>Rizal_Libtong</t>
  </si>
  <si>
    <t>Rizal_Purok Nagkakaisa</t>
  </si>
  <si>
    <t>Rizal_Salong-Song</t>
  </si>
  <si>
    <t>Rizal_Pk Liway-Way</t>
  </si>
  <si>
    <t>Rizal_Tribal Katutubo</t>
  </si>
  <si>
    <t>Rizal_Base</t>
  </si>
  <si>
    <t>0500</t>
  </si>
  <si>
    <t>0400</t>
  </si>
  <si>
    <t>0411</t>
  </si>
  <si>
    <t>0412</t>
  </si>
  <si>
    <t>0425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</si>
  <si>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</si>
  <si>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</si>
  <si>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</si>
  <si>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</si>
  <si>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</si>
  <si>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</si>
  <si>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</si>
  <si>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</si>
  <si>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</si>
  <si>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</si>
  <si>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</si>
  <si>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</si>
  <si>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0300</t>
  </si>
  <si>
    <t>0301</t>
  </si>
  <si>
    <t>0302</t>
  </si>
  <si>
    <t>0303</t>
  </si>
  <si>
    <t>0304</t>
  </si>
  <si>
    <t>0305</t>
  </si>
  <si>
    <t>0308</t>
  </si>
  <si>
    <t>0309</t>
  </si>
  <si>
    <t>0307</t>
  </si>
  <si>
    <t>0550</t>
  </si>
  <si>
    <t>0306</t>
  </si>
  <si>
    <t>0200</t>
  </si>
  <si>
    <t>0201</t>
  </si>
  <si>
    <t>0202</t>
  </si>
  <si>
    <t>0210</t>
  </si>
  <si>
    <t>0220</t>
  </si>
  <si>
    <t>0250</t>
  </si>
  <si>
    <t>0150</t>
  </si>
  <si>
    <t>0161</t>
  </si>
  <si>
    <t>0010</t>
  </si>
  <si>
    <t>0100</t>
  </si>
  <si>
    <t>0101</t>
  </si>
  <si>
    <t>0102</t>
  </si>
  <si>
    <t>0103</t>
  </si>
  <si>
    <t>0107</t>
  </si>
  <si>
    <t>0203</t>
  </si>
  <si>
    <t>0204</t>
  </si>
  <si>
    <t>0207</t>
  </si>
  <si>
    <t>0401</t>
  </si>
  <si>
    <t>0402</t>
  </si>
  <si>
    <t>0403</t>
  </si>
  <si>
    <t>0404</t>
  </si>
  <si>
    <t>0407</t>
  </si>
  <si>
    <t>0501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</si>
  <si>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</si>
  <si>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</si>
  <si>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</si>
  <si>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</si>
  <si>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</si>
  <si>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</si>
  <si>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</si>
  <si>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</si>
  <si>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</si>
  <si>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</si>
  <si>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</si>
  <si>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</si>
  <si>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</si>
  <si>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</si>
  <si>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</si>
  <si>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</si>
  <si>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</si>
  <si>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</si>
  <si>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</si>
  <si>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</si>
  <si>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0522</t>
  </si>
  <si>
    <t>0523</t>
  </si>
  <si>
    <t>0524</t>
  </si>
  <si>
    <t>0525</t>
  </si>
  <si>
    <t>0526</t>
  </si>
  <si>
    <t>0527</t>
  </si>
  <si>
    <t>0528</t>
  </si>
  <si>
    <t>0529</t>
  </si>
  <si>
    <t>0530</t>
  </si>
  <si>
    <t>0531</t>
  </si>
  <si>
    <t>0532</t>
  </si>
  <si>
    <t>0533</t>
  </si>
  <si>
    <t>0534</t>
  </si>
  <si>
    <t>0535</t>
  </si>
  <si>
    <t>0536</t>
  </si>
  <si>
    <t>0537</t>
  </si>
  <si>
    <t>0538</t>
  </si>
  <si>
    <t>0539</t>
  </si>
  <si>
    <t>0540</t>
  </si>
  <si>
    <t>0701</t>
  </si>
  <si>
    <t>0702</t>
  </si>
  <si>
    <t>0703</t>
  </si>
  <si>
    <t>0704</t>
  </si>
  <si>
    <t>0705</t>
  </si>
  <si>
    <t>0900</t>
  </si>
  <si>
    <t>0029</t>
  </si>
  <si>
    <t>0030</t>
  </si>
  <si>
    <t>0031</t>
  </si>
  <si>
    <t>0032</t>
  </si>
  <si>
    <t>0035</t>
  </si>
  <si>
    <t>0036</t>
  </si>
  <si>
    <t>0037</t>
  </si>
  <si>
    <t>0038</t>
  </si>
  <si>
    <t>AREA SELECT:</t>
  </si>
  <si>
    <t>AVAILABLE DESTINATIONS</t>
  </si>
  <si>
    <t>dist_origin</t>
  </si>
  <si>
    <t>SYSTEM_ID:</t>
  </si>
  <si>
    <r>
      <t xml:space="preserve">*** Reminder: Please log in to the Gas Slip Issuance System before proceeding. Your </t>
    </r>
    <r>
      <rPr>
        <b/>
        <i/>
        <sz val="11"/>
        <color theme="1"/>
        <rFont val="Calibri"/>
        <family val="2"/>
        <scheme val="minor"/>
      </rPr>
      <t xml:space="preserve">SYSTEM_ID </t>
    </r>
    <r>
      <rPr>
        <i/>
        <sz val="11"/>
        <color theme="1"/>
        <rFont val="Calibri"/>
        <family val="2"/>
        <scheme val="minor"/>
      </rPr>
      <t xml:space="preserve">is shown beside the title </t>
    </r>
    <r>
      <rPr>
        <b/>
        <i/>
        <sz val="11"/>
        <color theme="1"/>
        <rFont val="Calibri"/>
        <family val="2"/>
        <scheme val="minor"/>
      </rPr>
      <t>GAS SLIP ISSUANCE SYSTEM [SYSTEM_ID]</t>
    </r>
    <r>
      <rPr>
        <i/>
        <sz val="11"/>
        <color theme="1"/>
        <rFont val="Calibri"/>
        <family val="2"/>
        <scheme val="minor"/>
      </rPr>
      <t>. ***</t>
    </r>
  </si>
  <si>
    <t>000000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</si>
</sst>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14" fontId="0" fillId="0" borderId="0" xfId="0" applyNumberFormat="1" applyFont="1" applyAlignment="1">
      <alignment vertical="center"/>
    </xf>
    <xf numFmtId="22" fontId="0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22" fontId="4" fillId="0" borderId="0" xfId="0" applyNumberFormat="1" applyFont="1" applyAlignment="1">
      <alignment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quotePrefix="1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0" fillId="3" borderId="0" xfId="0" applyFont="1" applyFill="1" applyAlignment="1">
      <alignment vertical="center"/>
    </xf>
    <xf numFmtId="22" fontId="0" fillId="3" borderId="0" xfId="0" applyNumberFormat="1" applyFont="1" applyFill="1" applyAlignme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m/dd/yyyy\ h:mm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m/dd/yyyy\ h:mm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ExternalData_3" connectionId="2" autoFormatId="16" applyNumberFormats="0" applyBorderFormats="0" applyFontFormats="0" applyPatternFormats="0" applyAlignmentFormats="0" applyWidthHeightFormats="0">
  <queryTableRefresh nextId="6">
    <queryTableFields count="5">
      <queryTableField id="1" name="Column1.plate_no" tableColumnId="1"/>
      <queryTableField id="2" name="Column1.brand" tableColumnId="2"/>
      <queryTableField id="3" name="Column1.model" tableColumnId="3"/>
      <queryTableField id="4" name="Column1.km_per_liter" tableColumnId="4"/>
      <queryTableField id="5" name="Column1.ownership" tableColumnId="5"/>
    </queryTableFields>
  </queryTableRefresh>
</queryTable>
</file>

<file path=xl/queryTables/queryTable2.xml><?xml version="1.0" encoding="utf-8"?>
<queryTable xmlns="http://schemas.openxmlformats.org/spreadsheetml/2006/main" name="ExternalData_3" connectionId="1" autoFormatId="16" applyNumberFormats="0" applyBorderFormats="0" applyFontFormats="0" applyPatternFormats="0" applyAlignmentFormats="0" applyWidthHeightFormats="0">
  <queryTableRefresh nextId="9">
    <queryTableFields count="5">
      <queryTableField id="1" name="Column1.area" tableColumnId="1"/>
      <queryTableField id="3" name="Column1.origin" tableColumnId="3"/>
      <queryTableField id="4" name="Column1.destination" tableColumnId="4"/>
      <queryTableField id="7" name="route_select" tableColumnId="5"/>
      <queryTableField id="2" name="Column1.rout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fetch_table_vehicles" displayName="fetch_table_vehicles" ref="A1:E80" tableType="queryTable" totalsRowShown="0">
  <autoFilter ref="A1:E80"/>
  <tableColumns count="5">
    <tableColumn id="1" uniqueName="1" name="Column1.plate_no" queryTableFieldId="1"/>
    <tableColumn id="2" uniqueName="2" name="Column1.brand" queryTableFieldId="2"/>
    <tableColumn id="3" uniqueName="3" name="Column1.model" queryTableFieldId="3"/>
    <tableColumn id="4" uniqueName="4" name="Column1.km_per_liter" queryTableFieldId="4"/>
    <tableColumn id="5" uniqueName="5" name="Column1.ownership" queryTableFieldId="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3" name="fetch_table_routes" displayName="fetch_table_routes" ref="A1:E250" tableType="queryTable" totalsRowShown="0">
  <autoFilter ref="A1:E250"/>
  <tableColumns count="5">
    <tableColumn id="1" uniqueName="1" name="Column1.area" queryTableFieldId="1"/>
    <tableColumn id="3" uniqueName="3" name="Column1.origin" queryTableFieldId="3"/>
    <tableColumn id="4" uniqueName="4" name="Column1.destination" queryTableFieldId="4"/>
    <tableColumn id="5" uniqueName="5" name="route_select" queryTableFieldId="7"/>
    <tableColumn id="2" uniqueName="2" name="Column1.route" queryTableFieldId="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3:H150" totalsRowShown="0" headerRowDxfId="9" dataDxfId="8">
  <autoFilter ref="A3:H150"/>
  <sortState ref="A4:H150">
    <sortCondition ref="D3:D150"/>
  </sortState>
  <tableColumns count="8">
    <tableColumn id="1" name="Requested_by" dataDxfId="7"/>
    <tableColumn id="2" name="Plate_No" dataDxfId="6"/>
    <tableColumn id="3" name="Purpose" dataDxfId="5"/>
    <tableColumn id="4" name="Sequence_No" dataDxfId="4"/>
    <tableColumn id="6" name="Destination" dataDxfId="3"/>
    <tableColumn id="9" name="Route" dataDxfId="2"/>
    <tableColumn id="7" name="Date" dataDxfId="1">
      <calculatedColumnFormula>TODAY()</calculatedColumnFormula>
    </tableColumn>
    <tableColumn id="8" name="Validity" dataDxfId="0">
      <calculatedColumnFormula>Table1[[#This Row],[Date]]+1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A1:E80"/>
  <sheetViews>
    <sheetView workbookViewId="0">
      <selection activeCell="A9" sqref="A9"/>
    </sheetView>
  </sheetViews>
  <sheetFormatPr defaultRowHeight="15"/>
  <cols>
    <col min="1" max="1" width="19.85546875" bestFit="1" customWidth="1"/>
    <col min="2" max="2" width="17" bestFit="1" customWidth="1"/>
    <col min="3" max="3" width="17.5703125" bestFit="1" customWidth="1"/>
    <col min="4" max="4" width="23.42578125" bestFit="1" customWidth="1"/>
    <col min="5" max="5" width="21.42578125" bestFit="1" customWidth="1"/>
  </cols>
  <sheetData>
    <row r="1" spans="1:5">
      <c r="A1" t="s">
        <v>253</v>
      </c>
      <c r="B1" t="s">
        <v>254</v>
      </c>
      <c r="C1" t="s">
        <v>255</v>
      </c>
      <c r="D1" t="s">
        <v>256</v>
      </c>
      <c r="E1" t="s">
        <v>257</v>
      </c>
    </row>
    <row r="2" spans="1:5">
      <c r="A2" t="s">
        <v>258</v>
      </c>
      <c r="B2" t="s">
        <v>259</v>
      </c>
      <c r="C2" t="s">
        <v>260</v>
      </c>
      <c r="D2" t="s">
        <v>261</v>
      </c>
      <c r="E2" t="s">
        <v>262</v>
      </c>
    </row>
    <row r="3" spans="1:5">
      <c r="A3" t="s">
        <v>263</v>
      </c>
      <c r="B3" t="s">
        <v>259</v>
      </c>
      <c r="C3" t="s">
        <v>260</v>
      </c>
      <c r="D3" t="s">
        <v>261</v>
      </c>
      <c r="E3" t="s">
        <v>262</v>
      </c>
    </row>
    <row r="4" spans="1:5">
      <c r="A4" t="s">
        <v>264</v>
      </c>
      <c r="B4" t="s">
        <v>259</v>
      </c>
      <c r="C4" t="s">
        <v>260</v>
      </c>
      <c r="D4" t="s">
        <v>261</v>
      </c>
      <c r="E4" t="s">
        <v>262</v>
      </c>
    </row>
    <row r="5" spans="1:5">
      <c r="A5" t="s">
        <v>265</v>
      </c>
      <c r="B5" t="s">
        <v>259</v>
      </c>
      <c r="C5" t="s">
        <v>260</v>
      </c>
      <c r="D5" t="s">
        <v>261</v>
      </c>
      <c r="E5" t="s">
        <v>262</v>
      </c>
    </row>
    <row r="6" spans="1:5">
      <c r="A6" t="s">
        <v>266</v>
      </c>
      <c r="B6" t="s">
        <v>259</v>
      </c>
      <c r="C6" t="s">
        <v>267</v>
      </c>
      <c r="D6" t="s">
        <v>261</v>
      </c>
      <c r="E6" t="s">
        <v>262</v>
      </c>
    </row>
    <row r="7" spans="1:5">
      <c r="A7" t="s">
        <v>268</v>
      </c>
      <c r="B7" t="s">
        <v>259</v>
      </c>
      <c r="C7" t="s">
        <v>267</v>
      </c>
      <c r="D7" t="s">
        <v>261</v>
      </c>
      <c r="E7" t="s">
        <v>262</v>
      </c>
    </row>
    <row r="8" spans="1:5">
      <c r="A8" t="s">
        <v>269</v>
      </c>
      <c r="B8" t="s">
        <v>259</v>
      </c>
      <c r="C8" t="s">
        <v>260</v>
      </c>
      <c r="D8" t="s">
        <v>261</v>
      </c>
      <c r="E8" t="s">
        <v>262</v>
      </c>
    </row>
    <row r="9" spans="1:5">
      <c r="A9" t="s">
        <v>270</v>
      </c>
      <c r="B9" t="s">
        <v>259</v>
      </c>
      <c r="C9" t="s">
        <v>267</v>
      </c>
      <c r="D9" t="s">
        <v>261</v>
      </c>
      <c r="E9" t="s">
        <v>262</v>
      </c>
    </row>
    <row r="10" spans="1:5">
      <c r="A10" t="s">
        <v>271</v>
      </c>
      <c r="B10" t="s">
        <v>259</v>
      </c>
      <c r="C10" t="s">
        <v>260</v>
      </c>
      <c r="D10" t="s">
        <v>261</v>
      </c>
      <c r="E10" t="s">
        <v>262</v>
      </c>
    </row>
    <row r="11" spans="1:5">
      <c r="A11" t="s">
        <v>272</v>
      </c>
      <c r="B11" t="s">
        <v>259</v>
      </c>
      <c r="C11" t="s">
        <v>260</v>
      </c>
      <c r="D11" t="s">
        <v>261</v>
      </c>
      <c r="E11" t="s">
        <v>262</v>
      </c>
    </row>
    <row r="12" spans="1:5">
      <c r="A12" t="s">
        <v>273</v>
      </c>
      <c r="B12" t="s">
        <v>259</v>
      </c>
      <c r="C12" t="s">
        <v>267</v>
      </c>
      <c r="D12" t="s">
        <v>261</v>
      </c>
      <c r="E12" t="s">
        <v>262</v>
      </c>
    </row>
    <row r="13" spans="1:5">
      <c r="A13" t="s">
        <v>274</v>
      </c>
      <c r="B13" t="s">
        <v>259</v>
      </c>
      <c r="C13" t="s">
        <v>260</v>
      </c>
      <c r="D13" t="s">
        <v>261</v>
      </c>
      <c r="E13" t="s">
        <v>262</v>
      </c>
    </row>
    <row r="14" spans="1:5">
      <c r="A14" t="s">
        <v>275</v>
      </c>
      <c r="B14" t="s">
        <v>259</v>
      </c>
      <c r="C14" t="s">
        <v>267</v>
      </c>
      <c r="D14" t="s">
        <v>261</v>
      </c>
      <c r="E14" t="s">
        <v>262</v>
      </c>
    </row>
    <row r="15" spans="1:5">
      <c r="A15" t="s">
        <v>276</v>
      </c>
      <c r="B15" t="s">
        <v>259</v>
      </c>
      <c r="C15" t="s">
        <v>260</v>
      </c>
      <c r="D15" t="s">
        <v>261</v>
      </c>
      <c r="E15" t="s">
        <v>262</v>
      </c>
    </row>
    <row r="16" spans="1:5">
      <c r="A16" t="s">
        <v>277</v>
      </c>
      <c r="B16" t="s">
        <v>259</v>
      </c>
      <c r="C16" t="s">
        <v>260</v>
      </c>
      <c r="D16" t="s">
        <v>261</v>
      </c>
      <c r="E16" t="s">
        <v>262</v>
      </c>
    </row>
    <row r="17" spans="1:5">
      <c r="A17" t="s">
        <v>278</v>
      </c>
      <c r="B17" t="s">
        <v>259</v>
      </c>
      <c r="C17" t="s">
        <v>267</v>
      </c>
      <c r="D17" t="s">
        <v>261</v>
      </c>
      <c r="E17" t="s">
        <v>262</v>
      </c>
    </row>
    <row r="18" spans="1:5">
      <c r="A18" t="s">
        <v>279</v>
      </c>
      <c r="B18" t="s">
        <v>259</v>
      </c>
      <c r="C18" t="s">
        <v>267</v>
      </c>
      <c r="D18" t="s">
        <v>261</v>
      </c>
      <c r="E18" t="s">
        <v>262</v>
      </c>
    </row>
    <row r="19" spans="1:5">
      <c r="A19" t="s">
        <v>280</v>
      </c>
      <c r="B19" t="s">
        <v>259</v>
      </c>
      <c r="C19" t="s">
        <v>260</v>
      </c>
      <c r="D19" t="s">
        <v>261</v>
      </c>
      <c r="E19" t="s">
        <v>262</v>
      </c>
    </row>
    <row r="20" spans="1:5">
      <c r="A20" t="s">
        <v>281</v>
      </c>
      <c r="B20" t="s">
        <v>259</v>
      </c>
      <c r="C20" t="s">
        <v>267</v>
      </c>
      <c r="D20" t="s">
        <v>261</v>
      </c>
      <c r="E20" t="s">
        <v>262</v>
      </c>
    </row>
    <row r="21" spans="1:5">
      <c r="A21" t="s">
        <v>282</v>
      </c>
      <c r="B21" t="s">
        <v>259</v>
      </c>
      <c r="C21" t="s">
        <v>260</v>
      </c>
      <c r="D21" t="s">
        <v>261</v>
      </c>
      <c r="E21" t="s">
        <v>262</v>
      </c>
    </row>
    <row r="22" spans="1:5">
      <c r="A22" t="s">
        <v>283</v>
      </c>
      <c r="B22" t="s">
        <v>259</v>
      </c>
      <c r="C22" t="s">
        <v>260</v>
      </c>
      <c r="D22" t="s">
        <v>261</v>
      </c>
      <c r="E22" t="s">
        <v>262</v>
      </c>
    </row>
    <row r="23" spans="1:5">
      <c r="A23" t="s">
        <v>284</v>
      </c>
      <c r="B23" t="s">
        <v>259</v>
      </c>
      <c r="C23" t="s">
        <v>260</v>
      </c>
      <c r="D23" t="s">
        <v>261</v>
      </c>
      <c r="E23" t="s">
        <v>262</v>
      </c>
    </row>
    <row r="24" spans="1:5">
      <c r="A24" t="s">
        <v>285</v>
      </c>
      <c r="B24" t="s">
        <v>259</v>
      </c>
      <c r="C24" t="s">
        <v>260</v>
      </c>
      <c r="D24" t="s">
        <v>261</v>
      </c>
      <c r="E24" t="s">
        <v>262</v>
      </c>
    </row>
    <row r="25" spans="1:5">
      <c r="A25" t="s">
        <v>286</v>
      </c>
      <c r="B25" t="s">
        <v>259</v>
      </c>
      <c r="C25" t="s">
        <v>260</v>
      </c>
      <c r="D25" t="s">
        <v>261</v>
      </c>
      <c r="E25" t="s">
        <v>262</v>
      </c>
    </row>
    <row r="26" spans="1:5">
      <c r="A26" t="s">
        <v>287</v>
      </c>
      <c r="B26" t="s">
        <v>259</v>
      </c>
      <c r="C26" t="s">
        <v>267</v>
      </c>
      <c r="D26" t="s">
        <v>261</v>
      </c>
      <c r="E26" t="s">
        <v>262</v>
      </c>
    </row>
    <row r="27" spans="1:5">
      <c r="A27" t="s">
        <v>288</v>
      </c>
      <c r="B27" t="s">
        <v>259</v>
      </c>
      <c r="C27" t="s">
        <v>267</v>
      </c>
      <c r="D27" t="s">
        <v>261</v>
      </c>
      <c r="E27" t="s">
        <v>262</v>
      </c>
    </row>
    <row r="28" spans="1:5">
      <c r="A28" t="s">
        <v>289</v>
      </c>
      <c r="B28" t="s">
        <v>259</v>
      </c>
      <c r="C28" t="s">
        <v>267</v>
      </c>
      <c r="D28" t="s">
        <v>261</v>
      </c>
      <c r="E28" t="s">
        <v>262</v>
      </c>
    </row>
    <row r="29" spans="1:5">
      <c r="A29" t="s">
        <v>290</v>
      </c>
      <c r="B29" t="s">
        <v>259</v>
      </c>
      <c r="C29" t="s">
        <v>267</v>
      </c>
      <c r="D29" t="s">
        <v>261</v>
      </c>
      <c r="E29" t="s">
        <v>262</v>
      </c>
    </row>
    <row r="30" spans="1:5">
      <c r="A30" t="s">
        <v>291</v>
      </c>
      <c r="B30" t="s">
        <v>259</v>
      </c>
      <c r="C30" t="s">
        <v>267</v>
      </c>
      <c r="D30" t="s">
        <v>261</v>
      </c>
      <c r="E30" t="s">
        <v>262</v>
      </c>
    </row>
    <row r="31" spans="1:5">
      <c r="A31" t="s">
        <v>292</v>
      </c>
      <c r="B31" t="s">
        <v>259</v>
      </c>
      <c r="C31" t="s">
        <v>267</v>
      </c>
      <c r="D31" t="s">
        <v>261</v>
      </c>
      <c r="E31" t="s">
        <v>262</v>
      </c>
    </row>
    <row r="32" spans="1:5">
      <c r="A32" t="s">
        <v>293</v>
      </c>
      <c r="B32" t="s">
        <v>259</v>
      </c>
      <c r="C32" t="s">
        <v>267</v>
      </c>
      <c r="D32" t="s">
        <v>261</v>
      </c>
      <c r="E32" t="s">
        <v>262</v>
      </c>
    </row>
    <row r="33" spans="1:5">
      <c r="A33" t="s">
        <v>294</v>
      </c>
      <c r="B33" t="s">
        <v>259</v>
      </c>
      <c r="C33" t="s">
        <v>267</v>
      </c>
      <c r="D33" t="s">
        <v>261</v>
      </c>
      <c r="E33" t="s">
        <v>262</v>
      </c>
    </row>
    <row r="34" spans="1:5">
      <c r="A34" t="s">
        <v>295</v>
      </c>
      <c r="B34" t="s">
        <v>259</v>
      </c>
      <c r="C34" t="s">
        <v>267</v>
      </c>
      <c r="D34" t="s">
        <v>261</v>
      </c>
      <c r="E34" t="s">
        <v>262</v>
      </c>
    </row>
    <row r="35" spans="1:5">
      <c r="A35" t="s">
        <v>296</v>
      </c>
      <c r="B35" t="s">
        <v>259</v>
      </c>
      <c r="C35" t="s">
        <v>267</v>
      </c>
      <c r="D35" t="s">
        <v>261</v>
      </c>
      <c r="E35" t="s">
        <v>262</v>
      </c>
    </row>
    <row r="36" spans="1:5">
      <c r="A36" t="s">
        <v>297</v>
      </c>
      <c r="B36" t="s">
        <v>259</v>
      </c>
      <c r="C36" t="s">
        <v>267</v>
      </c>
      <c r="D36" t="s">
        <v>261</v>
      </c>
      <c r="E36" t="s">
        <v>262</v>
      </c>
    </row>
    <row r="37" spans="1:5">
      <c r="A37" t="s">
        <v>298</v>
      </c>
      <c r="B37" t="s">
        <v>259</v>
      </c>
      <c r="C37" t="s">
        <v>260</v>
      </c>
      <c r="D37" t="s">
        <v>261</v>
      </c>
      <c r="E37" t="s">
        <v>262</v>
      </c>
    </row>
    <row r="38" spans="1:5">
      <c r="A38" t="s">
        <v>299</v>
      </c>
      <c r="B38" t="s">
        <v>259</v>
      </c>
      <c r="C38" t="s">
        <v>267</v>
      </c>
      <c r="D38" t="s">
        <v>261</v>
      </c>
      <c r="E38" t="s">
        <v>262</v>
      </c>
    </row>
    <row r="39" spans="1:5">
      <c r="A39" t="s">
        <v>300</v>
      </c>
      <c r="B39" t="s">
        <v>259</v>
      </c>
      <c r="C39" t="s">
        <v>267</v>
      </c>
      <c r="D39" t="s">
        <v>261</v>
      </c>
      <c r="E39" t="s">
        <v>262</v>
      </c>
    </row>
    <row r="40" spans="1:5">
      <c r="A40" t="s">
        <v>301</v>
      </c>
      <c r="B40" t="s">
        <v>259</v>
      </c>
      <c r="C40" t="s">
        <v>302</v>
      </c>
      <c r="D40" t="s">
        <v>261</v>
      </c>
      <c r="E40" t="s">
        <v>262</v>
      </c>
    </row>
    <row r="41" spans="1:5">
      <c r="A41" t="s">
        <v>303</v>
      </c>
      <c r="B41" t="s">
        <v>259</v>
      </c>
      <c r="C41" t="s">
        <v>267</v>
      </c>
      <c r="D41" t="s">
        <v>261</v>
      </c>
      <c r="E41" t="s">
        <v>262</v>
      </c>
    </row>
    <row r="42" spans="1:5">
      <c r="A42" t="s">
        <v>304</v>
      </c>
      <c r="B42" t="s">
        <v>259</v>
      </c>
      <c r="C42" t="s">
        <v>267</v>
      </c>
      <c r="D42" t="s">
        <v>261</v>
      </c>
      <c r="E42" t="s">
        <v>262</v>
      </c>
    </row>
    <row r="43" spans="1:5">
      <c r="A43" t="s">
        <v>305</v>
      </c>
      <c r="B43" t="s">
        <v>259</v>
      </c>
      <c r="C43" t="s">
        <v>267</v>
      </c>
      <c r="D43" t="s">
        <v>261</v>
      </c>
      <c r="E43" t="s">
        <v>262</v>
      </c>
    </row>
    <row r="44" spans="1:5">
      <c r="A44" t="s">
        <v>306</v>
      </c>
      <c r="B44" t="s">
        <v>259</v>
      </c>
      <c r="C44" t="s">
        <v>260</v>
      </c>
      <c r="D44" t="s">
        <v>261</v>
      </c>
      <c r="E44" t="s">
        <v>262</v>
      </c>
    </row>
    <row r="45" spans="1:5">
      <c r="A45" t="s">
        <v>307</v>
      </c>
      <c r="B45" t="s">
        <v>259</v>
      </c>
      <c r="C45" t="s">
        <v>260</v>
      </c>
      <c r="D45" t="s">
        <v>261</v>
      </c>
      <c r="E45" t="s">
        <v>262</v>
      </c>
    </row>
    <row r="46" spans="1:5">
      <c r="A46" t="s">
        <v>308</v>
      </c>
      <c r="B46" t="s">
        <v>259</v>
      </c>
      <c r="C46" t="s">
        <v>260</v>
      </c>
      <c r="D46" t="s">
        <v>261</v>
      </c>
      <c r="E46" t="s">
        <v>262</v>
      </c>
    </row>
    <row r="47" spans="1:5">
      <c r="A47" t="s">
        <v>309</v>
      </c>
      <c r="B47" t="s">
        <v>259</v>
      </c>
      <c r="C47" t="s">
        <v>260</v>
      </c>
      <c r="D47" t="s">
        <v>261</v>
      </c>
      <c r="E47" t="s">
        <v>262</v>
      </c>
    </row>
    <row r="48" spans="1:5">
      <c r="A48" t="s">
        <v>310</v>
      </c>
      <c r="B48" t="s">
        <v>259</v>
      </c>
      <c r="C48" t="s">
        <v>267</v>
      </c>
      <c r="D48" t="s">
        <v>261</v>
      </c>
      <c r="E48" t="s">
        <v>262</v>
      </c>
    </row>
    <row r="49" spans="1:5">
      <c r="A49" t="s">
        <v>311</v>
      </c>
      <c r="B49" t="s">
        <v>259</v>
      </c>
      <c r="C49" t="s">
        <v>267</v>
      </c>
      <c r="D49" t="s">
        <v>261</v>
      </c>
      <c r="E49" t="s">
        <v>262</v>
      </c>
    </row>
    <row r="50" spans="1:5">
      <c r="A50" t="s">
        <v>312</v>
      </c>
      <c r="B50" t="s">
        <v>259</v>
      </c>
      <c r="C50" t="s">
        <v>267</v>
      </c>
      <c r="D50" t="s">
        <v>261</v>
      </c>
      <c r="E50" t="s">
        <v>262</v>
      </c>
    </row>
    <row r="51" spans="1:5">
      <c r="A51" t="s">
        <v>313</v>
      </c>
      <c r="B51" t="s">
        <v>259</v>
      </c>
      <c r="C51" t="s">
        <v>267</v>
      </c>
      <c r="D51" t="s">
        <v>261</v>
      </c>
      <c r="E51" t="s">
        <v>262</v>
      </c>
    </row>
    <row r="52" spans="1:5">
      <c r="A52" t="s">
        <v>314</v>
      </c>
      <c r="B52" t="s">
        <v>259</v>
      </c>
      <c r="C52" t="s">
        <v>315</v>
      </c>
      <c r="D52" t="s">
        <v>261</v>
      </c>
      <c r="E52" t="s">
        <v>262</v>
      </c>
    </row>
    <row r="53" spans="1:5">
      <c r="A53" t="s">
        <v>316</v>
      </c>
      <c r="B53" t="s">
        <v>259</v>
      </c>
      <c r="C53" t="s">
        <v>267</v>
      </c>
      <c r="D53" t="s">
        <v>261</v>
      </c>
      <c r="E53" t="s">
        <v>262</v>
      </c>
    </row>
    <row r="54" spans="1:5">
      <c r="A54" t="s">
        <v>317</v>
      </c>
      <c r="B54" t="s">
        <v>259</v>
      </c>
      <c r="C54" t="s">
        <v>267</v>
      </c>
      <c r="D54" t="s">
        <v>261</v>
      </c>
      <c r="E54" t="s">
        <v>262</v>
      </c>
    </row>
    <row r="55" spans="1:5">
      <c r="A55" t="s">
        <v>318</v>
      </c>
      <c r="B55" t="s">
        <v>259</v>
      </c>
      <c r="C55" t="s">
        <v>267</v>
      </c>
      <c r="D55" t="s">
        <v>261</v>
      </c>
      <c r="E55" t="s">
        <v>262</v>
      </c>
    </row>
    <row r="56" spans="1:5">
      <c r="A56" t="s">
        <v>319</v>
      </c>
      <c r="B56" t="s">
        <v>259</v>
      </c>
      <c r="C56" t="s">
        <v>267</v>
      </c>
      <c r="D56" t="s">
        <v>261</v>
      </c>
      <c r="E56" t="s">
        <v>262</v>
      </c>
    </row>
    <row r="57" spans="1:5">
      <c r="A57" t="s">
        <v>320</v>
      </c>
      <c r="B57" t="s">
        <v>321</v>
      </c>
      <c r="C57" t="s">
        <v>322</v>
      </c>
      <c r="D57" t="s">
        <v>261</v>
      </c>
      <c r="E57" t="s">
        <v>323</v>
      </c>
    </row>
    <row r="58" spans="1:5">
      <c r="A58" t="s">
        <v>324</v>
      </c>
      <c r="B58" t="s">
        <v>259</v>
      </c>
      <c r="C58" t="s">
        <v>267</v>
      </c>
      <c r="D58" t="s">
        <v>261</v>
      </c>
      <c r="E58" t="s">
        <v>262</v>
      </c>
    </row>
    <row r="59" spans="1:5">
      <c r="A59" t="s">
        <v>325</v>
      </c>
      <c r="B59" t="s">
        <v>259</v>
      </c>
      <c r="C59" t="s">
        <v>267</v>
      </c>
      <c r="D59" t="s">
        <v>261</v>
      </c>
      <c r="E59" t="s">
        <v>262</v>
      </c>
    </row>
    <row r="60" spans="1:5">
      <c r="A60" t="s">
        <v>326</v>
      </c>
      <c r="B60" t="s">
        <v>259</v>
      </c>
      <c r="C60" t="s">
        <v>267</v>
      </c>
      <c r="D60" t="s">
        <v>261</v>
      </c>
      <c r="E60" t="s">
        <v>262</v>
      </c>
    </row>
    <row r="61" spans="1:5">
      <c r="A61" t="s">
        <v>327</v>
      </c>
      <c r="B61" t="s">
        <v>259</v>
      </c>
      <c r="C61" t="s">
        <v>267</v>
      </c>
      <c r="D61" t="s">
        <v>261</v>
      </c>
      <c r="E61" t="s">
        <v>262</v>
      </c>
    </row>
    <row r="62" spans="1:5">
      <c r="A62" t="s">
        <v>328</v>
      </c>
      <c r="B62" t="s">
        <v>259</v>
      </c>
      <c r="C62" t="s">
        <v>267</v>
      </c>
      <c r="D62" t="s">
        <v>261</v>
      </c>
      <c r="E62" t="s">
        <v>262</v>
      </c>
    </row>
    <row r="63" spans="1:5">
      <c r="A63" t="s">
        <v>329</v>
      </c>
      <c r="B63" t="s">
        <v>259</v>
      </c>
      <c r="C63" t="s">
        <v>330</v>
      </c>
      <c r="D63" t="s">
        <v>261</v>
      </c>
      <c r="E63" t="s">
        <v>262</v>
      </c>
    </row>
    <row r="64" spans="1:5">
      <c r="A64" t="s">
        <v>331</v>
      </c>
      <c r="B64" t="s">
        <v>259</v>
      </c>
      <c r="C64" t="s">
        <v>260</v>
      </c>
      <c r="D64" t="s">
        <v>261</v>
      </c>
      <c r="E64" t="s">
        <v>262</v>
      </c>
    </row>
    <row r="65" spans="1:5">
      <c r="A65" t="s">
        <v>332</v>
      </c>
      <c r="B65" t="s">
        <v>259</v>
      </c>
      <c r="C65" t="s">
        <v>260</v>
      </c>
      <c r="D65" t="s">
        <v>261</v>
      </c>
      <c r="E65" t="s">
        <v>262</v>
      </c>
    </row>
    <row r="66" spans="1:5">
      <c r="A66" t="s">
        <v>333</v>
      </c>
      <c r="B66" t="s">
        <v>259</v>
      </c>
      <c r="C66" t="s">
        <v>330</v>
      </c>
      <c r="D66" t="s">
        <v>261</v>
      </c>
      <c r="E66" t="s">
        <v>262</v>
      </c>
    </row>
    <row r="67" spans="1:5">
      <c r="A67" t="s">
        <v>334</v>
      </c>
      <c r="B67" t="s">
        <v>259</v>
      </c>
      <c r="C67" t="s">
        <v>330</v>
      </c>
      <c r="D67" t="s">
        <v>261</v>
      </c>
      <c r="E67" t="s">
        <v>262</v>
      </c>
    </row>
    <row r="68" spans="1:5">
      <c r="A68" t="s">
        <v>335</v>
      </c>
      <c r="B68" t="s">
        <v>259</v>
      </c>
      <c r="C68" t="s">
        <v>330</v>
      </c>
      <c r="D68" t="s">
        <v>261</v>
      </c>
      <c r="E68" t="s">
        <v>262</v>
      </c>
    </row>
    <row r="69" spans="1:5">
      <c r="A69" t="s">
        <v>336</v>
      </c>
      <c r="B69" t="s">
        <v>259</v>
      </c>
      <c r="C69" t="s">
        <v>330</v>
      </c>
      <c r="D69" t="s">
        <v>261</v>
      </c>
      <c r="E69" t="s">
        <v>262</v>
      </c>
    </row>
    <row r="70" spans="1:5">
      <c r="A70" t="s">
        <v>337</v>
      </c>
      <c r="B70" t="s">
        <v>259</v>
      </c>
      <c r="C70" t="s">
        <v>302</v>
      </c>
      <c r="D70" t="s">
        <v>261</v>
      </c>
      <c r="E70" t="s">
        <v>262</v>
      </c>
    </row>
    <row r="71" spans="1:5">
      <c r="A71" t="s">
        <v>338</v>
      </c>
      <c r="B71" t="s">
        <v>259</v>
      </c>
      <c r="C71" t="s">
        <v>267</v>
      </c>
      <c r="D71" t="s">
        <v>261</v>
      </c>
      <c r="E71" t="s">
        <v>262</v>
      </c>
    </row>
    <row r="72" spans="1:5">
      <c r="A72" t="s">
        <v>339</v>
      </c>
      <c r="B72" t="s">
        <v>259</v>
      </c>
      <c r="C72" t="s">
        <v>267</v>
      </c>
      <c r="D72" t="s">
        <v>261</v>
      </c>
      <c r="E72" t="s">
        <v>262</v>
      </c>
    </row>
    <row r="73" spans="1:5">
      <c r="A73" t="s">
        <v>340</v>
      </c>
      <c r="B73" t="s">
        <v>259</v>
      </c>
      <c r="C73" t="s">
        <v>267</v>
      </c>
      <c r="D73" t="s">
        <v>261</v>
      </c>
      <c r="E73" t="s">
        <v>262</v>
      </c>
    </row>
    <row r="74" spans="1:5">
      <c r="A74" t="s">
        <v>341</v>
      </c>
      <c r="B74" t="s">
        <v>259</v>
      </c>
      <c r="C74" t="s">
        <v>267</v>
      </c>
      <c r="D74" t="s">
        <v>261</v>
      </c>
      <c r="E74" t="s">
        <v>262</v>
      </c>
    </row>
    <row r="75" spans="1:5">
      <c r="A75" t="s">
        <v>342</v>
      </c>
      <c r="B75" t="s">
        <v>259</v>
      </c>
      <c r="C75" t="s">
        <v>330</v>
      </c>
      <c r="D75" t="s">
        <v>261</v>
      </c>
      <c r="E75" t="s">
        <v>262</v>
      </c>
    </row>
    <row r="76" spans="1:5">
      <c r="A76" t="s">
        <v>343</v>
      </c>
      <c r="B76" t="s">
        <v>259</v>
      </c>
      <c r="C76" t="s">
        <v>330</v>
      </c>
      <c r="D76" t="s">
        <v>261</v>
      </c>
      <c r="E76" t="s">
        <v>262</v>
      </c>
    </row>
    <row r="77" spans="1:5">
      <c r="A77" t="s">
        <v>344</v>
      </c>
      <c r="B77" t="s">
        <v>259</v>
      </c>
      <c r="C77" t="s">
        <v>260</v>
      </c>
      <c r="D77" t="s">
        <v>261</v>
      </c>
      <c r="E77" t="s">
        <v>262</v>
      </c>
    </row>
    <row r="78" spans="1:5">
      <c r="A78" t="s">
        <v>345</v>
      </c>
      <c r="B78" t="s">
        <v>259</v>
      </c>
      <c r="C78" t="s">
        <v>260</v>
      </c>
      <c r="D78" t="s">
        <v>261</v>
      </c>
      <c r="E78" t="s">
        <v>262</v>
      </c>
    </row>
    <row r="79" spans="1:5">
      <c r="A79" t="s">
        <v>346</v>
      </c>
      <c r="B79" t="s">
        <v>259</v>
      </c>
      <c r="C79" t="s">
        <v>267</v>
      </c>
      <c r="D79" t="s">
        <v>261</v>
      </c>
      <c r="E79" t="s">
        <v>262</v>
      </c>
    </row>
    <row r="80" spans="1:5">
      <c r="A80" t="s">
        <v>347</v>
      </c>
      <c r="B80" t="s">
        <v>259</v>
      </c>
      <c r="C80" t="s">
        <v>267</v>
      </c>
      <c r="D80" t="s">
        <v>261</v>
      </c>
      <c r="E80" t="s">
        <v>262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1:I250"/>
  <sheetViews>
    <sheetView workbookViewId="0">
      <selection activeCell="D2" sqref="D2"/>
    </sheetView>
  </sheetViews>
  <sheetFormatPr defaultRowHeight="15"/>
  <cols>
    <col min="1" max="2" width="27.5703125" bestFit="1" customWidth="1"/>
    <col min="3" max="3" width="23.28515625" customWidth="1"/>
    <col min="4" max="4" width="35.5703125" customWidth="1"/>
    <col min="5" max="5" width="16.7109375" customWidth="1"/>
    <col min="6" max="6" width="9.42578125" customWidth="1"/>
    <col min="8" max="8" width="15.5703125" bestFit="1" customWidth="1"/>
  </cols>
  <sheetData>
    <row r="1" spans="1:9">
      <c r="A1" t="s">
        <v>241</v>
      </c>
      <c r="B1" t="s">
        <v>2</v>
      </c>
      <c r="C1" t="s">
        <v>3</v>
      </c>
      <c r="D1" t="s">
        <v>349</v>
      </c>
      <c r="E1" t="s">
        <v>242</v>
      </c>
      <c r="G1" t="s">
        <v>690</v>
      </c>
      <c r="H1" t="s">
        <v>245</v>
      </c>
    </row>
    <row r="2" spans="1:9">
      <c r="A2" t="s">
        <v>4</v>
      </c>
      <c r="B2" t="s">
        <v>4</v>
      </c>
      <c r="C2" t="s">
        <v>5</v>
      </c>
      <c r="D2" t="s">
        <v>350</v>
      </c>
      <c r="E2" t="s">
        <v>584</v>
      </c>
      <c r="G2" t="str" cm="1">
        <f t="array" ref="G2:G14">_xlfn._xlws.SORT(_xlfn.UNIQUE(_xlfn._xlws.FILTER(B2:B1000, B2:B1000&lt;&gt;"")))</f>
        <v>Aborlan</v>
      </c>
      <c r="H2" t="str" cm="1">
        <f t="array" ref="H2:H64">_xlfn._xlws.SORT(_xlfn.UNIQUE(_xlfn._xlws.FILTER(C$2:C$1000, B$2:B$1000=main!B1)))</f>
        <v>Anonang Sicsican</v>
      </c>
      <c r="I2">
        <f>IF(H2="","",ROWS(_xlfn.ANCHORARRAY(H2)))</f>
        <v>63</v>
      </c>
    </row>
    <row r="3" spans="1:9">
      <c r="A3" t="s">
        <v>4</v>
      </c>
      <c r="B3" t="s">
        <v>4</v>
      </c>
      <c r="C3" t="s">
        <v>6</v>
      </c>
      <c r="D3" t="s">
        <v>351</v>
      </c>
      <c r="E3" t="s">
        <v>584</v>
      </c>
      <c r="G3" t="str">
        <v>Araceli</v>
      </c>
      <c r="H3" t="str">
        <v>Bapa</v>
      </c>
    </row>
    <row r="4" spans="1:9">
      <c r="A4" t="s">
        <v>4</v>
      </c>
      <c r="B4" t="s">
        <v>4</v>
      </c>
      <c r="C4" t="s">
        <v>7</v>
      </c>
      <c r="D4" t="s">
        <v>352</v>
      </c>
      <c r="E4" t="s">
        <v>584</v>
      </c>
      <c r="G4" t="str">
        <v>Brookes Point</v>
      </c>
      <c r="H4" t="str">
        <v>Bapa - Sicsican</v>
      </c>
    </row>
    <row r="5" spans="1:9">
      <c r="A5" t="s">
        <v>4</v>
      </c>
      <c r="B5" t="s">
        <v>4</v>
      </c>
      <c r="C5" t="s">
        <v>8</v>
      </c>
      <c r="D5" t="s">
        <v>353</v>
      </c>
      <c r="E5" t="s">
        <v>584</v>
      </c>
      <c r="G5" t="str">
        <v>Cagayancillo</v>
      </c>
      <c r="H5" t="str">
        <v>Bapa-Ellen View</v>
      </c>
    </row>
    <row r="6" spans="1:9">
      <c r="A6" t="s">
        <v>4</v>
      </c>
      <c r="B6" t="s">
        <v>4</v>
      </c>
      <c r="C6" t="s">
        <v>9</v>
      </c>
      <c r="D6" t="s">
        <v>354</v>
      </c>
      <c r="E6" t="s">
        <v>584</v>
      </c>
      <c r="G6" t="str">
        <v>Dumaran</v>
      </c>
      <c r="H6" t="str">
        <v>Barrio 1</v>
      </c>
    </row>
    <row r="7" spans="1:9">
      <c r="A7" t="s">
        <v>4</v>
      </c>
      <c r="B7" t="s">
        <v>4</v>
      </c>
      <c r="C7" t="s">
        <v>10</v>
      </c>
      <c r="D7" t="s">
        <v>355</v>
      </c>
      <c r="E7" t="s">
        <v>584</v>
      </c>
      <c r="G7" t="str">
        <v>El Nido</v>
      </c>
      <c r="H7" t="str">
        <v>Barrio 2</v>
      </c>
    </row>
    <row r="8" spans="1:9">
      <c r="A8" t="s">
        <v>4</v>
      </c>
      <c r="B8" t="s">
        <v>4</v>
      </c>
      <c r="C8" t="s">
        <v>11</v>
      </c>
      <c r="D8" t="s">
        <v>356</v>
      </c>
      <c r="E8" t="s">
        <v>584</v>
      </c>
      <c r="G8" t="str">
        <v>Narra</v>
      </c>
      <c r="H8" t="str">
        <v>Barrio 3</v>
      </c>
    </row>
    <row r="9" spans="1:9">
      <c r="A9" t="s">
        <v>4</v>
      </c>
      <c r="B9" t="s">
        <v>4</v>
      </c>
      <c r="C9" t="s">
        <v>12</v>
      </c>
      <c r="D9" t="s">
        <v>357</v>
      </c>
      <c r="E9" t="s">
        <v>584</v>
      </c>
      <c r="G9" t="str">
        <v>Puerto Princesa [Main Office]</v>
      </c>
      <c r="H9" t="str">
        <v>Barrio 4</v>
      </c>
    </row>
    <row r="10" spans="1:9">
      <c r="A10" t="s">
        <v>4</v>
      </c>
      <c r="B10" t="s">
        <v>4</v>
      </c>
      <c r="C10" t="s">
        <v>13</v>
      </c>
      <c r="D10" t="s">
        <v>358</v>
      </c>
      <c r="E10" t="s">
        <v>584</v>
      </c>
      <c r="G10" t="str">
        <v>Quezon</v>
      </c>
      <c r="H10" t="str">
        <v>Barrio 5</v>
      </c>
    </row>
    <row r="11" spans="1:9">
      <c r="A11" t="s">
        <v>4</v>
      </c>
      <c r="B11" t="s">
        <v>4</v>
      </c>
      <c r="C11" t="s">
        <v>14</v>
      </c>
      <c r="D11" t="s">
        <v>359</v>
      </c>
      <c r="E11" t="s">
        <v>584</v>
      </c>
      <c r="G11" t="str">
        <v>Rizal</v>
      </c>
      <c r="H11" t="str">
        <v>Barrio 6</v>
      </c>
    </row>
    <row r="12" spans="1:9">
      <c r="A12" t="s">
        <v>4</v>
      </c>
      <c r="B12" t="s">
        <v>4</v>
      </c>
      <c r="C12" t="s">
        <v>15</v>
      </c>
      <c r="D12" t="s">
        <v>360</v>
      </c>
      <c r="E12" t="s">
        <v>584</v>
      </c>
      <c r="G12" t="str">
        <v>Roxas</v>
      </c>
      <c r="H12" t="str">
        <v>Bgy Mangingisda</v>
      </c>
    </row>
    <row r="13" spans="1:9">
      <c r="A13" t="s">
        <v>4</v>
      </c>
      <c r="B13" t="s">
        <v>4</v>
      </c>
      <c r="C13" t="s">
        <v>16</v>
      </c>
      <c r="D13" t="s">
        <v>361</v>
      </c>
      <c r="E13" t="s">
        <v>584</v>
      </c>
      <c r="G13" t="str">
        <v>San Vicente</v>
      </c>
      <c r="H13" t="str">
        <v>Bgy. Babuyan</v>
      </c>
    </row>
    <row r="14" spans="1:9">
      <c r="A14" t="s">
        <v>17</v>
      </c>
      <c r="B14" t="s">
        <v>17</v>
      </c>
      <c r="C14" t="s">
        <v>18</v>
      </c>
      <c r="D14" t="s">
        <v>362</v>
      </c>
      <c r="E14" t="s">
        <v>585</v>
      </c>
      <c r="G14" t="str">
        <v>Taytay</v>
      </c>
      <c r="H14" t="str">
        <v>Bgy. Bahile</v>
      </c>
    </row>
    <row r="15" spans="1:9">
      <c r="A15" t="s">
        <v>17</v>
      </c>
      <c r="B15" t="s">
        <v>17</v>
      </c>
      <c r="C15" t="s">
        <v>19</v>
      </c>
      <c r="D15" t="s">
        <v>363</v>
      </c>
      <c r="E15" t="s">
        <v>585</v>
      </c>
      <c r="H15" t="str">
        <v>Bgy. Binduyan</v>
      </c>
    </row>
    <row r="16" spans="1:9">
      <c r="A16" t="s">
        <v>17</v>
      </c>
      <c r="B16" t="s">
        <v>17</v>
      </c>
      <c r="C16" t="s">
        <v>20</v>
      </c>
      <c r="D16" t="s">
        <v>364</v>
      </c>
      <c r="E16" t="s">
        <v>586</v>
      </c>
      <c r="H16" t="str">
        <v>Bgy. Concepcion</v>
      </c>
    </row>
    <row r="17" spans="1:8">
      <c r="A17" t="s">
        <v>17</v>
      </c>
      <c r="B17" t="s">
        <v>17</v>
      </c>
      <c r="C17" t="s">
        <v>21</v>
      </c>
      <c r="D17" t="s">
        <v>365</v>
      </c>
      <c r="E17" t="s">
        <v>586</v>
      </c>
      <c r="H17" t="str">
        <v>Bgy. Langogan</v>
      </c>
    </row>
    <row r="18" spans="1:8">
      <c r="A18" t="s">
        <v>17</v>
      </c>
      <c r="B18" t="s">
        <v>17</v>
      </c>
      <c r="C18" t="s">
        <v>22</v>
      </c>
      <c r="D18" t="s">
        <v>366</v>
      </c>
      <c r="E18" t="s">
        <v>586</v>
      </c>
      <c r="H18" t="str">
        <v>Bgy. Lucbuan</v>
      </c>
    </row>
    <row r="19" spans="1:8">
      <c r="A19" t="s">
        <v>17</v>
      </c>
      <c r="B19" t="s">
        <v>17</v>
      </c>
      <c r="C19" t="s">
        <v>23</v>
      </c>
      <c r="D19" t="s">
        <v>367</v>
      </c>
      <c r="E19" t="s">
        <v>586</v>
      </c>
      <c r="H19" t="str">
        <v>Bgy. Luzviminda</v>
      </c>
    </row>
    <row r="20" spans="1:8">
      <c r="A20" t="s">
        <v>17</v>
      </c>
      <c r="B20" t="s">
        <v>17</v>
      </c>
      <c r="C20" t="s">
        <v>24</v>
      </c>
      <c r="D20" t="s">
        <v>368</v>
      </c>
      <c r="E20" t="s">
        <v>586</v>
      </c>
      <c r="H20" t="str">
        <v>Bgy. Macarascas</v>
      </c>
    </row>
    <row r="21" spans="1:8">
      <c r="A21" t="s">
        <v>17</v>
      </c>
      <c r="B21" t="s">
        <v>17</v>
      </c>
      <c r="C21" t="s">
        <v>25</v>
      </c>
      <c r="D21" t="s">
        <v>369</v>
      </c>
      <c r="E21" t="s">
        <v>587</v>
      </c>
      <c r="H21" t="str">
        <v>Bgy. Manalo</v>
      </c>
    </row>
    <row r="22" spans="1:8">
      <c r="A22" t="s">
        <v>17</v>
      </c>
      <c r="B22" t="s">
        <v>17</v>
      </c>
      <c r="C22" t="s">
        <v>26</v>
      </c>
      <c r="D22" t="s">
        <v>370</v>
      </c>
      <c r="E22" t="s">
        <v>588</v>
      </c>
      <c r="H22" t="str">
        <v>Bgy. Mangingisda</v>
      </c>
    </row>
    <row r="23" spans="1:8">
      <c r="A23" t="s">
        <v>27</v>
      </c>
      <c r="B23" t="s">
        <v>27</v>
      </c>
      <c r="C23" t="s">
        <v>28</v>
      </c>
      <c r="D23" t="s">
        <v>371</v>
      </c>
      <c r="E23" t="s">
        <v>589</v>
      </c>
      <c r="H23" t="str">
        <v>Bgy. Maoyon</v>
      </c>
    </row>
    <row r="24" spans="1:8">
      <c r="A24" t="s">
        <v>27</v>
      </c>
      <c r="B24" t="s">
        <v>27</v>
      </c>
      <c r="C24" t="s">
        <v>29</v>
      </c>
      <c r="D24" t="s">
        <v>372</v>
      </c>
      <c r="E24" t="s">
        <v>590</v>
      </c>
      <c r="H24" t="str">
        <v>Bgy. Maruyugon</v>
      </c>
    </row>
    <row r="25" spans="1:8">
      <c r="A25" t="s">
        <v>27</v>
      </c>
      <c r="B25" t="s">
        <v>27</v>
      </c>
      <c r="C25" t="s">
        <v>30</v>
      </c>
      <c r="D25" t="s">
        <v>373</v>
      </c>
      <c r="E25" t="s">
        <v>591</v>
      </c>
      <c r="H25" t="str">
        <v>Bgy. Montible</v>
      </c>
    </row>
    <row r="26" spans="1:8">
      <c r="A26" t="s">
        <v>27</v>
      </c>
      <c r="B26" t="s">
        <v>27</v>
      </c>
      <c r="C26" t="s">
        <v>31</v>
      </c>
      <c r="D26" t="s">
        <v>374</v>
      </c>
      <c r="E26" t="s">
        <v>592</v>
      </c>
      <c r="H26" t="str">
        <v>Bgy. Napsan</v>
      </c>
    </row>
    <row r="27" spans="1:8">
      <c r="A27" t="s">
        <v>27</v>
      </c>
      <c r="B27" t="s">
        <v>27</v>
      </c>
      <c r="C27" t="s">
        <v>32</v>
      </c>
      <c r="D27" t="s">
        <v>375</v>
      </c>
      <c r="E27" t="s">
        <v>593</v>
      </c>
      <c r="H27" t="str">
        <v>Bgy. Salvacion</v>
      </c>
    </row>
    <row r="28" spans="1:8">
      <c r="A28" t="s">
        <v>27</v>
      </c>
      <c r="B28" t="s">
        <v>27</v>
      </c>
      <c r="C28" t="s">
        <v>33</v>
      </c>
      <c r="D28" t="s">
        <v>376</v>
      </c>
      <c r="E28" t="s">
        <v>594</v>
      </c>
      <c r="H28" t="str">
        <v>Bgy. San Isidro</v>
      </c>
    </row>
    <row r="29" spans="1:8">
      <c r="A29" t="s">
        <v>27</v>
      </c>
      <c r="B29" t="s">
        <v>27</v>
      </c>
      <c r="C29" t="s">
        <v>34</v>
      </c>
      <c r="D29" t="s">
        <v>377</v>
      </c>
      <c r="E29" t="s">
        <v>595</v>
      </c>
      <c r="H29" t="str">
        <v>Bgy. San Rafael</v>
      </c>
    </row>
    <row r="30" spans="1:8">
      <c r="A30" t="s">
        <v>27</v>
      </c>
      <c r="B30" t="s">
        <v>27</v>
      </c>
      <c r="C30" t="s">
        <v>35</v>
      </c>
      <c r="D30" t="s">
        <v>378</v>
      </c>
      <c r="E30" t="s">
        <v>596</v>
      </c>
      <c r="H30" t="str">
        <v>Bgy. Tanabag</v>
      </c>
    </row>
    <row r="31" spans="1:8">
      <c r="A31" t="s">
        <v>27</v>
      </c>
      <c r="B31" t="s">
        <v>27</v>
      </c>
      <c r="C31" t="s">
        <v>36</v>
      </c>
      <c r="D31" t="s">
        <v>379</v>
      </c>
      <c r="E31" t="s">
        <v>597</v>
      </c>
      <c r="H31" t="str">
        <v>Bukana, Bgy. Iwahig</v>
      </c>
    </row>
    <row r="32" spans="1:8">
      <c r="A32" t="s">
        <v>27</v>
      </c>
      <c r="B32" t="s">
        <v>27</v>
      </c>
      <c r="C32" t="s">
        <v>37</v>
      </c>
      <c r="D32" t="s">
        <v>380</v>
      </c>
      <c r="E32" t="s">
        <v>598</v>
      </c>
      <c r="H32" t="str">
        <v>Busngol</v>
      </c>
    </row>
    <row r="33" spans="1:8">
      <c r="A33" t="s">
        <v>27</v>
      </c>
      <c r="B33" t="s">
        <v>27</v>
      </c>
      <c r="C33" t="s">
        <v>38</v>
      </c>
      <c r="D33" t="s">
        <v>381</v>
      </c>
      <c r="E33" t="s">
        <v>599</v>
      </c>
      <c r="H33" t="str">
        <v>Fishermans Village</v>
      </c>
    </row>
    <row r="34" spans="1:8">
      <c r="A34" t="s">
        <v>27</v>
      </c>
      <c r="B34" t="s">
        <v>27</v>
      </c>
      <c r="C34" t="s">
        <v>39</v>
      </c>
      <c r="D34" t="s">
        <v>382</v>
      </c>
      <c r="E34" t="s">
        <v>600</v>
      </c>
      <c r="H34" t="str">
        <v>Golden Valley Sicsican</v>
      </c>
    </row>
    <row r="35" spans="1:8">
      <c r="A35" t="s">
        <v>40</v>
      </c>
      <c r="B35" t="s">
        <v>40</v>
      </c>
      <c r="C35" t="s">
        <v>41</v>
      </c>
      <c r="D35" t="s">
        <v>383</v>
      </c>
      <c r="E35" t="s">
        <v>601</v>
      </c>
      <c r="H35" t="str">
        <v>Honda Bay, Sta. Lourdes</v>
      </c>
    </row>
    <row r="36" spans="1:8">
      <c r="A36" t="s">
        <v>40</v>
      </c>
      <c r="B36" t="s">
        <v>40</v>
      </c>
      <c r="C36" t="s">
        <v>42</v>
      </c>
      <c r="D36" t="s">
        <v>384</v>
      </c>
      <c r="E36" t="s">
        <v>602</v>
      </c>
      <c r="H36" t="str">
        <v>Malvar / Pub Mkt</v>
      </c>
    </row>
    <row r="37" spans="1:8">
      <c r="A37" t="s">
        <v>40</v>
      </c>
      <c r="B37" t="s">
        <v>40</v>
      </c>
      <c r="C37" t="s">
        <v>43</v>
      </c>
      <c r="D37" t="s">
        <v>385</v>
      </c>
      <c r="E37" t="s">
        <v>603</v>
      </c>
      <c r="H37" t="str">
        <v>Paleco Employee</v>
      </c>
    </row>
    <row r="38" spans="1:8">
      <c r="A38" t="s">
        <v>40</v>
      </c>
      <c r="B38" t="s">
        <v>40</v>
      </c>
      <c r="C38" t="s">
        <v>44</v>
      </c>
      <c r="D38" t="s">
        <v>386</v>
      </c>
      <c r="E38" t="s">
        <v>604</v>
      </c>
      <c r="H38" t="str">
        <v>Pbf, Bigloads, Military</v>
      </c>
    </row>
    <row r="39" spans="1:8">
      <c r="A39" t="s">
        <v>40</v>
      </c>
      <c r="B39" t="s">
        <v>40</v>
      </c>
      <c r="C39" t="s">
        <v>45</v>
      </c>
      <c r="D39" t="s">
        <v>387</v>
      </c>
      <c r="E39" t="s">
        <v>605</v>
      </c>
      <c r="H39" t="str">
        <v>Poblacion 10</v>
      </c>
    </row>
    <row r="40" spans="1:8">
      <c r="A40" t="s">
        <v>40</v>
      </c>
      <c r="B40" t="s">
        <v>40</v>
      </c>
      <c r="C40" t="s">
        <v>46</v>
      </c>
      <c r="D40" t="s">
        <v>388</v>
      </c>
      <c r="E40" t="s">
        <v>606</v>
      </c>
      <c r="H40" t="str">
        <v>Poblacion 11</v>
      </c>
    </row>
    <row r="41" spans="1:8">
      <c r="A41" t="s">
        <v>40</v>
      </c>
      <c r="B41" t="s">
        <v>40</v>
      </c>
      <c r="C41" t="s">
        <v>47</v>
      </c>
      <c r="D41" t="s">
        <v>389</v>
      </c>
      <c r="E41" t="s">
        <v>606</v>
      </c>
      <c r="H41" t="str">
        <v>Poblacion 12</v>
      </c>
    </row>
    <row r="42" spans="1:8">
      <c r="A42" t="s">
        <v>40</v>
      </c>
      <c r="B42" t="s">
        <v>40</v>
      </c>
      <c r="C42" t="s">
        <v>48</v>
      </c>
      <c r="D42" t="s">
        <v>390</v>
      </c>
      <c r="E42" t="s">
        <v>606</v>
      </c>
      <c r="H42" t="str">
        <v>Poblacion 13</v>
      </c>
    </row>
    <row r="43" spans="1:8">
      <c r="A43" t="s">
        <v>40</v>
      </c>
      <c r="B43" t="s">
        <v>40</v>
      </c>
      <c r="C43" t="s">
        <v>49</v>
      </c>
      <c r="D43" t="s">
        <v>391</v>
      </c>
      <c r="E43" t="s">
        <v>606</v>
      </c>
      <c r="H43" t="str">
        <v>Poblacion 14</v>
      </c>
    </row>
    <row r="44" spans="1:8">
      <c r="A44" t="s">
        <v>40</v>
      </c>
      <c r="B44" t="s">
        <v>40</v>
      </c>
      <c r="C44" t="s">
        <v>50</v>
      </c>
      <c r="D44" t="s">
        <v>392</v>
      </c>
      <c r="E44" t="s">
        <v>607</v>
      </c>
      <c r="H44" t="str">
        <v>Poblacion 15</v>
      </c>
    </row>
    <row r="45" spans="1:8">
      <c r="A45" t="s">
        <v>40</v>
      </c>
      <c r="B45" t="s">
        <v>40</v>
      </c>
      <c r="C45" t="s">
        <v>51</v>
      </c>
      <c r="D45" t="s">
        <v>393</v>
      </c>
      <c r="E45" t="s">
        <v>607</v>
      </c>
      <c r="H45" t="str">
        <v>Poblacion 16</v>
      </c>
    </row>
    <row r="46" spans="1:8">
      <c r="A46" t="s">
        <v>40</v>
      </c>
      <c r="B46" t="s">
        <v>40</v>
      </c>
      <c r="C46" t="s">
        <v>52</v>
      </c>
      <c r="D46" t="s">
        <v>394</v>
      </c>
      <c r="E46" t="s">
        <v>607</v>
      </c>
      <c r="H46" t="str">
        <v>Poblacion 17</v>
      </c>
    </row>
    <row r="47" spans="1:8">
      <c r="A47" t="s">
        <v>40</v>
      </c>
      <c r="B47" t="s">
        <v>40</v>
      </c>
      <c r="C47" t="s">
        <v>53</v>
      </c>
      <c r="D47" t="s">
        <v>395</v>
      </c>
      <c r="E47" t="s">
        <v>607</v>
      </c>
      <c r="H47" t="str">
        <v>Poblacion 18</v>
      </c>
    </row>
    <row r="48" spans="1:8">
      <c r="A48" t="s">
        <v>40</v>
      </c>
      <c r="B48" t="s">
        <v>40</v>
      </c>
      <c r="C48" t="s">
        <v>54</v>
      </c>
      <c r="D48" t="s">
        <v>396</v>
      </c>
      <c r="E48" t="s">
        <v>607</v>
      </c>
      <c r="H48" t="str">
        <v>Poblacion 19</v>
      </c>
    </row>
    <row r="49" spans="1:8">
      <c r="A49" t="s">
        <v>40</v>
      </c>
      <c r="B49" t="s">
        <v>40</v>
      </c>
      <c r="C49" t="s">
        <v>55</v>
      </c>
      <c r="D49" t="s">
        <v>397</v>
      </c>
      <c r="E49" t="s">
        <v>607</v>
      </c>
      <c r="H49" t="str">
        <v>Poblacion 2</v>
      </c>
    </row>
    <row r="50" spans="1:8">
      <c r="A50" t="s">
        <v>40</v>
      </c>
      <c r="B50" t="s">
        <v>40</v>
      </c>
      <c r="C50" t="s">
        <v>56</v>
      </c>
      <c r="D50" t="s">
        <v>398</v>
      </c>
      <c r="E50" t="s">
        <v>607</v>
      </c>
      <c r="H50" t="str">
        <v>Poblacion 20</v>
      </c>
    </row>
    <row r="51" spans="1:8">
      <c r="A51" t="s">
        <v>40</v>
      </c>
      <c r="B51" t="s">
        <v>40</v>
      </c>
      <c r="C51" t="s">
        <v>57</v>
      </c>
      <c r="D51" t="s">
        <v>399</v>
      </c>
      <c r="E51" t="s">
        <v>607</v>
      </c>
      <c r="H51" t="str">
        <v>Poblacion 3</v>
      </c>
    </row>
    <row r="52" spans="1:8">
      <c r="A52" t="s">
        <v>40</v>
      </c>
      <c r="B52" t="s">
        <v>40</v>
      </c>
      <c r="C52" t="s">
        <v>58</v>
      </c>
      <c r="D52" t="s">
        <v>400</v>
      </c>
      <c r="E52" t="s">
        <v>608</v>
      </c>
      <c r="H52" t="str">
        <v>Poblacion 4</v>
      </c>
    </row>
    <row r="53" spans="1:8">
      <c r="A53" t="s">
        <v>40</v>
      </c>
      <c r="B53" t="s">
        <v>40</v>
      </c>
      <c r="C53" t="s">
        <v>59</v>
      </c>
      <c r="D53" t="s">
        <v>401</v>
      </c>
      <c r="E53" t="s">
        <v>608</v>
      </c>
      <c r="H53" t="str">
        <v>Poblacion 5</v>
      </c>
    </row>
    <row r="54" spans="1:8">
      <c r="A54" t="s">
        <v>40</v>
      </c>
      <c r="B54" t="s">
        <v>40</v>
      </c>
      <c r="C54" t="s">
        <v>60</v>
      </c>
      <c r="D54" t="s">
        <v>402</v>
      </c>
      <c r="E54" t="s">
        <v>608</v>
      </c>
      <c r="H54" t="str">
        <v>Poblacion 6</v>
      </c>
    </row>
    <row r="55" spans="1:8">
      <c r="A55" t="s">
        <v>40</v>
      </c>
      <c r="B55" t="s">
        <v>40</v>
      </c>
      <c r="C55" t="s">
        <v>61</v>
      </c>
      <c r="D55" t="s">
        <v>403</v>
      </c>
      <c r="E55" t="s">
        <v>608</v>
      </c>
      <c r="H55" t="str">
        <v>Poblacion 7</v>
      </c>
    </row>
    <row r="56" spans="1:8">
      <c r="A56" t="s">
        <v>40</v>
      </c>
      <c r="B56" t="s">
        <v>40</v>
      </c>
      <c r="C56" t="s">
        <v>62</v>
      </c>
      <c r="D56" t="s">
        <v>404</v>
      </c>
      <c r="E56" t="s">
        <v>608</v>
      </c>
      <c r="H56" t="str">
        <v>Poblacion 8</v>
      </c>
    </row>
    <row r="57" spans="1:8">
      <c r="A57" t="s">
        <v>63</v>
      </c>
      <c r="B57" t="s">
        <v>63</v>
      </c>
      <c r="C57" t="s">
        <v>64</v>
      </c>
      <c r="D57" t="s">
        <v>405</v>
      </c>
      <c r="E57" t="s">
        <v>609</v>
      </c>
      <c r="H57" t="str">
        <v>Poblacion 9</v>
      </c>
    </row>
    <row r="58" spans="1:8">
      <c r="A58" t="s">
        <v>63</v>
      </c>
      <c r="B58" t="s">
        <v>63</v>
      </c>
      <c r="C58" t="s">
        <v>65</v>
      </c>
      <c r="D58" t="s">
        <v>406</v>
      </c>
      <c r="E58" t="s">
        <v>609</v>
      </c>
      <c r="H58" t="str">
        <v>Poblacion I</v>
      </c>
    </row>
    <row r="59" spans="1:8">
      <c r="A59" t="s">
        <v>66</v>
      </c>
      <c r="B59" t="s">
        <v>66</v>
      </c>
      <c r="C59" t="s">
        <v>18</v>
      </c>
      <c r="D59" t="s">
        <v>407</v>
      </c>
      <c r="E59" t="s">
        <v>610</v>
      </c>
      <c r="H59" t="str">
        <v>Sicsican Housing</v>
      </c>
    </row>
    <row r="60" spans="1:8">
      <c r="A60" t="s">
        <v>66</v>
      </c>
      <c r="B60" t="s">
        <v>66</v>
      </c>
      <c r="C60" t="s">
        <v>67</v>
      </c>
      <c r="D60" t="s">
        <v>408</v>
      </c>
      <c r="E60" t="s">
        <v>610</v>
      </c>
      <c r="H60" t="str">
        <v>Sta Cruz/Bacungan</v>
      </c>
    </row>
    <row r="61" spans="1:8">
      <c r="A61" t="s">
        <v>66</v>
      </c>
      <c r="B61" t="s">
        <v>66</v>
      </c>
      <c r="C61" t="s">
        <v>68</v>
      </c>
      <c r="D61" t="s">
        <v>409</v>
      </c>
      <c r="E61" t="s">
        <v>610</v>
      </c>
      <c r="H61" t="str">
        <v>Sunrise, San Jose</v>
      </c>
    </row>
    <row r="62" spans="1:8">
      <c r="A62" t="s">
        <v>66</v>
      </c>
      <c r="B62" t="s">
        <v>66</v>
      </c>
      <c r="C62" t="s">
        <v>69</v>
      </c>
      <c r="D62" t="s">
        <v>410</v>
      </c>
      <c r="E62" t="s">
        <v>610</v>
      </c>
      <c r="H62" t="str">
        <v>Tagburos Aplaya</v>
      </c>
    </row>
    <row r="63" spans="1:8">
      <c r="A63" t="s">
        <v>66</v>
      </c>
      <c r="B63" t="s">
        <v>66</v>
      </c>
      <c r="C63" t="s">
        <v>70</v>
      </c>
      <c r="D63" t="s">
        <v>411</v>
      </c>
      <c r="E63" t="s">
        <v>610</v>
      </c>
      <c r="H63" t="str">
        <v>Typoco, San Manuel</v>
      </c>
    </row>
    <row r="64" spans="1:8">
      <c r="A64" t="s">
        <v>71</v>
      </c>
      <c r="B64" t="s">
        <v>71</v>
      </c>
      <c r="C64" t="s">
        <v>18</v>
      </c>
      <c r="D64" t="s">
        <v>412</v>
      </c>
      <c r="E64" t="s">
        <v>611</v>
      </c>
      <c r="H64" t="str">
        <v>Visapa, Irawan</v>
      </c>
    </row>
    <row r="65" spans="1:5">
      <c r="A65" t="s">
        <v>71</v>
      </c>
      <c r="B65" t="s">
        <v>71</v>
      </c>
      <c r="C65" t="s">
        <v>72</v>
      </c>
      <c r="D65" t="s">
        <v>413</v>
      </c>
      <c r="E65" t="s">
        <v>611</v>
      </c>
    </row>
    <row r="66" spans="1:5">
      <c r="A66" t="s">
        <v>71</v>
      </c>
      <c r="B66" t="s">
        <v>71</v>
      </c>
      <c r="C66" t="s">
        <v>73</v>
      </c>
      <c r="D66" t="s">
        <v>414</v>
      </c>
      <c r="E66" t="s">
        <v>611</v>
      </c>
    </row>
    <row r="67" spans="1:5">
      <c r="A67" t="s">
        <v>71</v>
      </c>
      <c r="B67" t="s">
        <v>71</v>
      </c>
      <c r="C67" t="s">
        <v>74</v>
      </c>
      <c r="D67" t="s">
        <v>415</v>
      </c>
      <c r="E67" t="s">
        <v>609</v>
      </c>
    </row>
    <row r="68" spans="1:5">
      <c r="A68" t="s">
        <v>71</v>
      </c>
      <c r="B68" t="s">
        <v>71</v>
      </c>
      <c r="C68" t="s">
        <v>75</v>
      </c>
      <c r="D68" t="s">
        <v>416</v>
      </c>
      <c r="E68" t="s">
        <v>609</v>
      </c>
    </row>
    <row r="69" spans="1:5">
      <c r="A69" t="s">
        <v>71</v>
      </c>
      <c r="B69" t="s">
        <v>71</v>
      </c>
      <c r="C69" t="s">
        <v>76</v>
      </c>
      <c r="D69" t="s">
        <v>417</v>
      </c>
      <c r="E69" t="s">
        <v>609</v>
      </c>
    </row>
    <row r="70" spans="1:5">
      <c r="A70" t="s">
        <v>71</v>
      </c>
      <c r="B70" t="s">
        <v>71</v>
      </c>
      <c r="C70" t="s">
        <v>77</v>
      </c>
      <c r="D70" t="s">
        <v>418</v>
      </c>
      <c r="E70" t="s">
        <v>609</v>
      </c>
    </row>
    <row r="71" spans="1:5">
      <c r="A71" t="s">
        <v>71</v>
      </c>
      <c r="B71" t="s">
        <v>71</v>
      </c>
      <c r="C71" t="s">
        <v>78</v>
      </c>
      <c r="D71" t="s">
        <v>419</v>
      </c>
      <c r="E71" t="s">
        <v>609</v>
      </c>
    </row>
    <row r="72" spans="1:5">
      <c r="A72" t="s">
        <v>71</v>
      </c>
      <c r="B72" t="s">
        <v>71</v>
      </c>
      <c r="C72" t="s">
        <v>79</v>
      </c>
      <c r="D72" t="s">
        <v>420</v>
      </c>
      <c r="E72" t="s">
        <v>607</v>
      </c>
    </row>
    <row r="73" spans="1:5">
      <c r="A73" t="s">
        <v>80</v>
      </c>
      <c r="B73" t="s">
        <v>80</v>
      </c>
      <c r="C73" t="s">
        <v>81</v>
      </c>
      <c r="D73" t="s">
        <v>421</v>
      </c>
      <c r="E73" t="s">
        <v>612</v>
      </c>
    </row>
    <row r="74" spans="1:5">
      <c r="A74" t="s">
        <v>80</v>
      </c>
      <c r="B74" t="s">
        <v>80</v>
      </c>
      <c r="C74" t="s">
        <v>81</v>
      </c>
      <c r="D74" t="s">
        <v>421</v>
      </c>
      <c r="E74" t="s">
        <v>612</v>
      </c>
    </row>
    <row r="75" spans="1:5">
      <c r="A75" t="s">
        <v>80</v>
      </c>
      <c r="B75" t="s">
        <v>80</v>
      </c>
      <c r="C75" t="s">
        <v>82</v>
      </c>
      <c r="D75" t="s">
        <v>422</v>
      </c>
      <c r="E75" t="s">
        <v>613</v>
      </c>
    </row>
    <row r="76" spans="1:5">
      <c r="A76" t="s">
        <v>80</v>
      </c>
      <c r="B76" t="s">
        <v>80</v>
      </c>
      <c r="C76" t="s">
        <v>83</v>
      </c>
      <c r="D76" t="s">
        <v>423</v>
      </c>
      <c r="E76" t="s">
        <v>613</v>
      </c>
    </row>
    <row r="77" spans="1:5">
      <c r="A77" t="s">
        <v>80</v>
      </c>
      <c r="B77" t="s">
        <v>80</v>
      </c>
      <c r="C77" t="s">
        <v>84</v>
      </c>
      <c r="D77" t="s">
        <v>424</v>
      </c>
      <c r="E77" t="s">
        <v>614</v>
      </c>
    </row>
    <row r="78" spans="1:5">
      <c r="A78" t="s">
        <v>80</v>
      </c>
      <c r="B78" t="s">
        <v>80</v>
      </c>
      <c r="C78" t="s">
        <v>85</v>
      </c>
      <c r="D78" t="s">
        <v>425</v>
      </c>
      <c r="E78" t="s">
        <v>614</v>
      </c>
    </row>
    <row r="79" spans="1:5">
      <c r="A79" t="s">
        <v>80</v>
      </c>
      <c r="B79" t="s">
        <v>80</v>
      </c>
      <c r="C79" t="s">
        <v>86</v>
      </c>
      <c r="D79" t="s">
        <v>426</v>
      </c>
      <c r="E79" t="s">
        <v>615</v>
      </c>
    </row>
    <row r="80" spans="1:5">
      <c r="A80" t="s">
        <v>80</v>
      </c>
      <c r="B80" t="s">
        <v>80</v>
      </c>
      <c r="C80" t="s">
        <v>87</v>
      </c>
      <c r="D80" t="s">
        <v>427</v>
      </c>
      <c r="E80" t="s">
        <v>615</v>
      </c>
    </row>
    <row r="81" spans="1:5">
      <c r="A81" t="s">
        <v>80</v>
      </c>
      <c r="B81" t="s">
        <v>80</v>
      </c>
      <c r="C81" t="s">
        <v>88</v>
      </c>
      <c r="D81" t="s">
        <v>428</v>
      </c>
      <c r="E81" t="s">
        <v>615</v>
      </c>
    </row>
    <row r="82" spans="1:5">
      <c r="A82" t="s">
        <v>80</v>
      </c>
      <c r="B82" t="s">
        <v>80</v>
      </c>
      <c r="C82" t="s">
        <v>89</v>
      </c>
      <c r="D82" t="s">
        <v>429</v>
      </c>
      <c r="E82" t="s">
        <v>615</v>
      </c>
    </row>
    <row r="83" spans="1:5">
      <c r="A83" t="s">
        <v>80</v>
      </c>
      <c r="B83" t="s">
        <v>80</v>
      </c>
      <c r="C83" t="s">
        <v>90</v>
      </c>
      <c r="D83" t="s">
        <v>430</v>
      </c>
      <c r="E83" t="s">
        <v>615</v>
      </c>
    </row>
    <row r="84" spans="1:5">
      <c r="A84" t="s">
        <v>80</v>
      </c>
      <c r="B84" t="s">
        <v>80</v>
      </c>
      <c r="C84" t="s">
        <v>91</v>
      </c>
      <c r="D84" t="s">
        <v>431</v>
      </c>
      <c r="E84" t="s">
        <v>615</v>
      </c>
    </row>
    <row r="85" spans="1:5">
      <c r="A85" t="s">
        <v>80</v>
      </c>
      <c r="B85" t="s">
        <v>80</v>
      </c>
      <c r="C85" t="s">
        <v>92</v>
      </c>
      <c r="D85" t="s">
        <v>432</v>
      </c>
      <c r="E85" t="s">
        <v>615</v>
      </c>
    </row>
    <row r="86" spans="1:5">
      <c r="A86" t="s">
        <v>80</v>
      </c>
      <c r="B86" t="s">
        <v>80</v>
      </c>
      <c r="C86" t="s">
        <v>93</v>
      </c>
      <c r="D86" t="s">
        <v>433</v>
      </c>
      <c r="E86" t="s">
        <v>615</v>
      </c>
    </row>
    <row r="87" spans="1:5">
      <c r="A87" t="s">
        <v>80</v>
      </c>
      <c r="B87" t="s">
        <v>80</v>
      </c>
      <c r="C87" t="s">
        <v>94</v>
      </c>
      <c r="D87" t="s">
        <v>434</v>
      </c>
      <c r="E87" t="s">
        <v>615</v>
      </c>
    </row>
    <row r="88" spans="1:5">
      <c r="A88" t="s">
        <v>80</v>
      </c>
      <c r="B88" t="s">
        <v>80</v>
      </c>
      <c r="C88" t="s">
        <v>95</v>
      </c>
      <c r="D88" t="s">
        <v>435</v>
      </c>
      <c r="E88" t="s">
        <v>615</v>
      </c>
    </row>
    <row r="89" spans="1:5">
      <c r="A89" t="s">
        <v>80</v>
      </c>
      <c r="B89" t="s">
        <v>80</v>
      </c>
      <c r="C89" t="s">
        <v>96</v>
      </c>
      <c r="D89" t="s">
        <v>436</v>
      </c>
      <c r="E89" t="s">
        <v>615</v>
      </c>
    </row>
    <row r="90" spans="1:5">
      <c r="A90" t="s">
        <v>80</v>
      </c>
      <c r="B90" t="s">
        <v>80</v>
      </c>
      <c r="C90" t="s">
        <v>97</v>
      </c>
      <c r="D90" t="s">
        <v>437</v>
      </c>
      <c r="E90" t="s">
        <v>616</v>
      </c>
    </row>
    <row r="91" spans="1:5">
      <c r="A91" t="s">
        <v>80</v>
      </c>
      <c r="B91" t="s">
        <v>80</v>
      </c>
      <c r="C91" t="s">
        <v>98</v>
      </c>
      <c r="D91" t="s">
        <v>438</v>
      </c>
      <c r="E91" t="s">
        <v>616</v>
      </c>
    </row>
    <row r="92" spans="1:5">
      <c r="A92" t="s">
        <v>80</v>
      </c>
      <c r="B92" t="s">
        <v>80</v>
      </c>
      <c r="C92" t="s">
        <v>99</v>
      </c>
      <c r="D92" t="s">
        <v>439</v>
      </c>
      <c r="E92" t="s">
        <v>616</v>
      </c>
    </row>
    <row r="93" spans="1:5">
      <c r="A93" t="s">
        <v>80</v>
      </c>
      <c r="B93" t="s">
        <v>80</v>
      </c>
      <c r="C93" t="s">
        <v>100</v>
      </c>
      <c r="D93" t="s">
        <v>440</v>
      </c>
      <c r="E93" t="s">
        <v>616</v>
      </c>
    </row>
    <row r="94" spans="1:5">
      <c r="A94" t="s">
        <v>80</v>
      </c>
      <c r="B94" t="s">
        <v>80</v>
      </c>
      <c r="C94" t="s">
        <v>101</v>
      </c>
      <c r="D94" t="s">
        <v>441</v>
      </c>
      <c r="E94" t="s">
        <v>616</v>
      </c>
    </row>
    <row r="95" spans="1:5">
      <c r="A95" t="s">
        <v>80</v>
      </c>
      <c r="B95" t="s">
        <v>80</v>
      </c>
      <c r="C95" t="s">
        <v>102</v>
      </c>
      <c r="D95" t="s">
        <v>442</v>
      </c>
      <c r="E95" t="s">
        <v>616</v>
      </c>
    </row>
    <row r="96" spans="1:5">
      <c r="A96" t="s">
        <v>80</v>
      </c>
      <c r="B96" t="s">
        <v>80</v>
      </c>
      <c r="C96" t="s">
        <v>103</v>
      </c>
      <c r="D96" t="s">
        <v>443</v>
      </c>
      <c r="E96" t="s">
        <v>616</v>
      </c>
    </row>
    <row r="97" spans="1:5">
      <c r="A97" t="s">
        <v>80</v>
      </c>
      <c r="B97" t="s">
        <v>80</v>
      </c>
      <c r="C97" t="s">
        <v>104</v>
      </c>
      <c r="D97" t="s">
        <v>444</v>
      </c>
      <c r="E97" t="s">
        <v>617</v>
      </c>
    </row>
    <row r="98" spans="1:5">
      <c r="A98" t="s">
        <v>80</v>
      </c>
      <c r="B98" t="s">
        <v>80</v>
      </c>
      <c r="C98" t="s">
        <v>105</v>
      </c>
      <c r="D98" t="s">
        <v>445</v>
      </c>
      <c r="E98" t="s">
        <v>617</v>
      </c>
    </row>
    <row r="99" spans="1:5">
      <c r="A99" t="s">
        <v>80</v>
      </c>
      <c r="B99" t="s">
        <v>80</v>
      </c>
      <c r="C99" t="s">
        <v>106</v>
      </c>
      <c r="D99" t="s">
        <v>446</v>
      </c>
      <c r="E99" t="s">
        <v>617</v>
      </c>
    </row>
    <row r="100" spans="1:5">
      <c r="A100" t="s">
        <v>80</v>
      </c>
      <c r="B100" t="s">
        <v>80</v>
      </c>
      <c r="C100" t="s">
        <v>107</v>
      </c>
      <c r="D100" t="s">
        <v>447</v>
      </c>
      <c r="E100" t="s">
        <v>617</v>
      </c>
    </row>
    <row r="101" spans="1:5">
      <c r="A101" t="s">
        <v>80</v>
      </c>
      <c r="B101" t="s">
        <v>80</v>
      </c>
      <c r="C101" t="s">
        <v>108</v>
      </c>
      <c r="D101" t="s">
        <v>448</v>
      </c>
      <c r="E101" t="s">
        <v>617</v>
      </c>
    </row>
    <row r="102" spans="1:5">
      <c r="A102" t="s">
        <v>1</v>
      </c>
      <c r="B102" t="s">
        <v>1</v>
      </c>
      <c r="C102" t="s">
        <v>109</v>
      </c>
      <c r="D102" t="s">
        <v>449</v>
      </c>
      <c r="E102" t="s">
        <v>618</v>
      </c>
    </row>
    <row r="103" spans="1:5">
      <c r="A103" t="s">
        <v>1</v>
      </c>
      <c r="B103" t="s">
        <v>1</v>
      </c>
      <c r="C103" t="s">
        <v>110</v>
      </c>
      <c r="D103" t="s">
        <v>450</v>
      </c>
      <c r="E103" t="s">
        <v>618</v>
      </c>
    </row>
    <row r="104" spans="1:5">
      <c r="A104" t="s">
        <v>1</v>
      </c>
      <c r="B104" t="s">
        <v>1</v>
      </c>
      <c r="C104" t="s">
        <v>111</v>
      </c>
      <c r="D104" t="s">
        <v>451</v>
      </c>
      <c r="E104" t="s">
        <v>618</v>
      </c>
    </row>
    <row r="105" spans="1:5">
      <c r="A105" t="s">
        <v>1</v>
      </c>
      <c r="B105" t="s">
        <v>1</v>
      </c>
      <c r="C105" t="s">
        <v>112</v>
      </c>
      <c r="D105" t="s">
        <v>452</v>
      </c>
      <c r="E105" t="s">
        <v>243</v>
      </c>
    </row>
    <row r="106" spans="1:5">
      <c r="A106" t="s">
        <v>1</v>
      </c>
      <c r="B106" t="s">
        <v>1</v>
      </c>
      <c r="C106" t="s">
        <v>113</v>
      </c>
      <c r="D106" t="s">
        <v>453</v>
      </c>
      <c r="E106" t="s">
        <v>243</v>
      </c>
    </row>
    <row r="107" spans="1:5">
      <c r="A107" t="s">
        <v>1</v>
      </c>
      <c r="B107" t="s">
        <v>1</v>
      </c>
      <c r="C107" t="s">
        <v>114</v>
      </c>
      <c r="D107" t="s">
        <v>454</v>
      </c>
      <c r="E107" t="s">
        <v>243</v>
      </c>
    </row>
    <row r="108" spans="1:5">
      <c r="A108" t="s">
        <v>1</v>
      </c>
      <c r="B108" t="s">
        <v>1</v>
      </c>
      <c r="C108" t="s">
        <v>115</v>
      </c>
      <c r="D108" t="s">
        <v>455</v>
      </c>
      <c r="E108" t="s">
        <v>243</v>
      </c>
    </row>
    <row r="109" spans="1:5">
      <c r="A109" t="s">
        <v>1</v>
      </c>
      <c r="B109" t="s">
        <v>1</v>
      </c>
      <c r="C109" t="s">
        <v>116</v>
      </c>
      <c r="D109" t="s">
        <v>456</v>
      </c>
      <c r="E109" t="s">
        <v>243</v>
      </c>
    </row>
    <row r="110" spans="1:5">
      <c r="A110" t="s">
        <v>1</v>
      </c>
      <c r="B110" t="s">
        <v>1</v>
      </c>
      <c r="C110" t="s">
        <v>117</v>
      </c>
      <c r="D110" t="s">
        <v>457</v>
      </c>
      <c r="E110" t="s">
        <v>243</v>
      </c>
    </row>
    <row r="111" spans="1:5">
      <c r="A111" t="s">
        <v>1</v>
      </c>
      <c r="B111" t="s">
        <v>1</v>
      </c>
      <c r="C111" t="s">
        <v>118</v>
      </c>
      <c r="D111" t="s">
        <v>458</v>
      </c>
      <c r="E111" t="s">
        <v>243</v>
      </c>
    </row>
    <row r="112" spans="1:5">
      <c r="A112" t="s">
        <v>1</v>
      </c>
      <c r="B112" t="s">
        <v>1</v>
      </c>
      <c r="C112" t="s">
        <v>119</v>
      </c>
      <c r="D112" t="s">
        <v>459</v>
      </c>
      <c r="E112" t="s">
        <v>243</v>
      </c>
    </row>
    <row r="113" spans="1:5">
      <c r="A113" t="s">
        <v>1</v>
      </c>
      <c r="B113" t="s">
        <v>1</v>
      </c>
      <c r="C113" t="s">
        <v>18</v>
      </c>
      <c r="D113" t="s">
        <v>460</v>
      </c>
      <c r="E113" t="s">
        <v>243</v>
      </c>
    </row>
    <row r="114" spans="1:5">
      <c r="A114" t="s">
        <v>1</v>
      </c>
      <c r="B114" t="s">
        <v>1</v>
      </c>
      <c r="C114" t="s">
        <v>120</v>
      </c>
      <c r="D114" t="s">
        <v>461</v>
      </c>
      <c r="E114" t="s">
        <v>243</v>
      </c>
    </row>
    <row r="115" spans="1:5">
      <c r="A115" t="s">
        <v>1</v>
      </c>
      <c r="B115" t="s">
        <v>1</v>
      </c>
      <c r="C115" t="s">
        <v>121</v>
      </c>
      <c r="D115" t="s">
        <v>462</v>
      </c>
      <c r="E115" t="s">
        <v>619</v>
      </c>
    </row>
    <row r="116" spans="1:5">
      <c r="A116" t="s">
        <v>1</v>
      </c>
      <c r="B116" t="s">
        <v>1</v>
      </c>
      <c r="C116" t="s">
        <v>122</v>
      </c>
      <c r="D116" t="s">
        <v>463</v>
      </c>
      <c r="E116" t="s">
        <v>619</v>
      </c>
    </row>
    <row r="117" spans="1:5">
      <c r="A117" t="s">
        <v>1</v>
      </c>
      <c r="B117" t="s">
        <v>1</v>
      </c>
      <c r="C117" t="s">
        <v>123</v>
      </c>
      <c r="D117" t="s">
        <v>464</v>
      </c>
      <c r="E117" t="s">
        <v>619</v>
      </c>
    </row>
    <row r="118" spans="1:5">
      <c r="A118" t="s">
        <v>1</v>
      </c>
      <c r="B118" t="s">
        <v>1</v>
      </c>
      <c r="C118" t="s">
        <v>124</v>
      </c>
      <c r="D118" t="s">
        <v>465</v>
      </c>
      <c r="E118" t="s">
        <v>619</v>
      </c>
    </row>
    <row r="119" spans="1:5">
      <c r="A119" t="s">
        <v>1</v>
      </c>
      <c r="B119" t="s">
        <v>1</v>
      </c>
      <c r="C119" t="s">
        <v>125</v>
      </c>
      <c r="D119" t="s">
        <v>466</v>
      </c>
      <c r="E119" t="s">
        <v>619</v>
      </c>
    </row>
    <row r="120" spans="1:5">
      <c r="A120" t="s">
        <v>1</v>
      </c>
      <c r="B120" t="s">
        <v>1</v>
      </c>
      <c r="C120" t="s">
        <v>126</v>
      </c>
      <c r="D120" t="s">
        <v>467</v>
      </c>
      <c r="E120" t="s">
        <v>619</v>
      </c>
    </row>
    <row r="121" spans="1:5">
      <c r="A121" t="s">
        <v>0</v>
      </c>
      <c r="B121" t="s">
        <v>0</v>
      </c>
      <c r="C121" t="s">
        <v>127</v>
      </c>
      <c r="D121" t="s">
        <v>468</v>
      </c>
      <c r="E121" t="s">
        <v>620</v>
      </c>
    </row>
    <row r="122" spans="1:5">
      <c r="A122" t="s">
        <v>0</v>
      </c>
      <c r="B122" t="s">
        <v>0</v>
      </c>
      <c r="C122" t="s">
        <v>128</v>
      </c>
      <c r="D122" t="s">
        <v>469</v>
      </c>
      <c r="E122" t="s">
        <v>621</v>
      </c>
    </row>
    <row r="123" spans="1:5">
      <c r="A123" t="s">
        <v>0</v>
      </c>
      <c r="B123" t="s">
        <v>0</v>
      </c>
      <c r="C123" t="s">
        <v>129</v>
      </c>
      <c r="D123" t="s">
        <v>470</v>
      </c>
      <c r="E123" t="s">
        <v>622</v>
      </c>
    </row>
    <row r="124" spans="1:5">
      <c r="A124" t="s">
        <v>0</v>
      </c>
      <c r="B124" t="s">
        <v>0</v>
      </c>
      <c r="C124" t="s">
        <v>130</v>
      </c>
      <c r="D124" t="s">
        <v>471</v>
      </c>
      <c r="E124" t="s">
        <v>623</v>
      </c>
    </row>
    <row r="125" spans="1:5">
      <c r="A125" t="s">
        <v>0</v>
      </c>
      <c r="B125" t="s">
        <v>0</v>
      </c>
      <c r="C125" t="s">
        <v>131</v>
      </c>
      <c r="D125" t="s">
        <v>472</v>
      </c>
      <c r="E125" t="s">
        <v>624</v>
      </c>
    </row>
    <row r="126" spans="1:5">
      <c r="A126" t="s">
        <v>0</v>
      </c>
      <c r="B126" t="s">
        <v>0</v>
      </c>
      <c r="C126" t="s">
        <v>132</v>
      </c>
      <c r="D126" t="s">
        <v>473</v>
      </c>
      <c r="E126" t="s">
        <v>625</v>
      </c>
    </row>
    <row r="127" spans="1:5">
      <c r="A127" t="s">
        <v>0</v>
      </c>
      <c r="B127" t="s">
        <v>0</v>
      </c>
      <c r="C127" t="s">
        <v>133</v>
      </c>
      <c r="D127" t="s">
        <v>474</v>
      </c>
      <c r="E127" t="s">
        <v>612</v>
      </c>
    </row>
    <row r="128" spans="1:5">
      <c r="A128" t="s">
        <v>0</v>
      </c>
      <c r="B128" t="s">
        <v>0</v>
      </c>
      <c r="C128" t="s">
        <v>134</v>
      </c>
      <c r="D128" t="s">
        <v>475</v>
      </c>
      <c r="E128" t="s">
        <v>613</v>
      </c>
    </row>
    <row r="129" spans="1:5">
      <c r="A129" t="s">
        <v>0</v>
      </c>
      <c r="B129" t="s">
        <v>0</v>
      </c>
      <c r="C129" t="s">
        <v>135</v>
      </c>
      <c r="D129" t="s">
        <v>476</v>
      </c>
      <c r="E129" t="s">
        <v>614</v>
      </c>
    </row>
    <row r="130" spans="1:5">
      <c r="A130" t="s">
        <v>0</v>
      </c>
      <c r="B130" t="s">
        <v>0</v>
      </c>
      <c r="C130" t="s">
        <v>136</v>
      </c>
      <c r="D130" t="s">
        <v>477</v>
      </c>
      <c r="E130" t="s">
        <v>626</v>
      </c>
    </row>
    <row r="131" spans="1:5">
      <c r="A131" t="s">
        <v>0</v>
      </c>
      <c r="B131" t="s">
        <v>0</v>
      </c>
      <c r="C131" t="s">
        <v>137</v>
      </c>
      <c r="D131" t="s">
        <v>478</v>
      </c>
      <c r="E131" t="s">
        <v>627</v>
      </c>
    </row>
    <row r="132" spans="1:5">
      <c r="A132" t="s">
        <v>0</v>
      </c>
      <c r="B132" t="s">
        <v>0</v>
      </c>
      <c r="C132" t="s">
        <v>132</v>
      </c>
      <c r="D132" t="s">
        <v>473</v>
      </c>
      <c r="E132" t="s">
        <v>628</v>
      </c>
    </row>
    <row r="133" spans="1:5">
      <c r="A133" t="s">
        <v>0</v>
      </c>
      <c r="B133" t="s">
        <v>0</v>
      </c>
      <c r="C133" t="s">
        <v>138</v>
      </c>
      <c r="D133" t="s">
        <v>479</v>
      </c>
      <c r="E133" t="s">
        <v>601</v>
      </c>
    </row>
    <row r="134" spans="1:5">
      <c r="A134" t="s">
        <v>0</v>
      </c>
      <c r="B134" t="s">
        <v>0</v>
      </c>
      <c r="C134" t="s">
        <v>139</v>
      </c>
      <c r="D134" t="s">
        <v>480</v>
      </c>
      <c r="E134" t="s">
        <v>602</v>
      </c>
    </row>
    <row r="135" spans="1:5">
      <c r="A135" t="s">
        <v>0</v>
      </c>
      <c r="B135" t="s">
        <v>0</v>
      </c>
      <c r="C135" t="s">
        <v>140</v>
      </c>
      <c r="D135" t="s">
        <v>481</v>
      </c>
      <c r="E135" t="s">
        <v>603</v>
      </c>
    </row>
    <row r="136" spans="1:5">
      <c r="A136" t="s">
        <v>0</v>
      </c>
      <c r="B136" t="s">
        <v>0</v>
      </c>
      <c r="C136" t="s">
        <v>141</v>
      </c>
      <c r="D136" t="s">
        <v>482</v>
      </c>
      <c r="E136" t="s">
        <v>604</v>
      </c>
    </row>
    <row r="137" spans="1:5">
      <c r="A137" t="s">
        <v>0</v>
      </c>
      <c r="B137" t="s">
        <v>0</v>
      </c>
      <c r="C137" t="s">
        <v>142</v>
      </c>
      <c r="D137" t="s">
        <v>483</v>
      </c>
      <c r="E137" t="s">
        <v>605</v>
      </c>
    </row>
    <row r="138" spans="1:5">
      <c r="A138" t="s">
        <v>0</v>
      </c>
      <c r="B138" t="s">
        <v>0</v>
      </c>
      <c r="C138" t="s">
        <v>143</v>
      </c>
      <c r="D138" t="s">
        <v>484</v>
      </c>
      <c r="E138" t="s">
        <v>606</v>
      </c>
    </row>
    <row r="139" spans="1:5">
      <c r="A139" t="s">
        <v>0</v>
      </c>
      <c r="B139" t="s">
        <v>0</v>
      </c>
      <c r="C139" t="s">
        <v>144</v>
      </c>
      <c r="D139" t="s">
        <v>485</v>
      </c>
      <c r="E139" t="s">
        <v>611</v>
      </c>
    </row>
    <row r="140" spans="1:5">
      <c r="A140" t="s">
        <v>0</v>
      </c>
      <c r="B140" t="s">
        <v>0</v>
      </c>
      <c r="C140" t="s">
        <v>132</v>
      </c>
      <c r="D140" t="s">
        <v>473</v>
      </c>
      <c r="E140" t="s">
        <v>609</v>
      </c>
    </row>
    <row r="141" spans="1:5">
      <c r="A141" t="s">
        <v>0</v>
      </c>
      <c r="B141" t="s">
        <v>0</v>
      </c>
      <c r="C141" t="s">
        <v>145</v>
      </c>
      <c r="D141" t="s">
        <v>486</v>
      </c>
      <c r="E141" t="s">
        <v>585</v>
      </c>
    </row>
    <row r="142" spans="1:5">
      <c r="A142" t="s">
        <v>0</v>
      </c>
      <c r="B142" t="s">
        <v>0</v>
      </c>
      <c r="C142" t="s">
        <v>146</v>
      </c>
      <c r="D142" t="s">
        <v>487</v>
      </c>
      <c r="E142" t="s">
        <v>629</v>
      </c>
    </row>
    <row r="143" spans="1:5">
      <c r="A143" t="s">
        <v>0</v>
      </c>
      <c r="B143" t="s">
        <v>0</v>
      </c>
      <c r="C143" t="s">
        <v>147</v>
      </c>
      <c r="D143" t="s">
        <v>488</v>
      </c>
      <c r="E143" t="s">
        <v>630</v>
      </c>
    </row>
    <row r="144" spans="1:5">
      <c r="A144" t="s">
        <v>0</v>
      </c>
      <c r="B144" t="s">
        <v>0</v>
      </c>
      <c r="C144" t="s">
        <v>148</v>
      </c>
      <c r="D144" t="s">
        <v>489</v>
      </c>
      <c r="E144" t="s">
        <v>631</v>
      </c>
    </row>
    <row r="145" spans="1:5">
      <c r="A145" t="s">
        <v>0</v>
      </c>
      <c r="B145" t="s">
        <v>0</v>
      </c>
      <c r="C145" t="s">
        <v>149</v>
      </c>
      <c r="D145" t="s">
        <v>490</v>
      </c>
      <c r="E145" t="s">
        <v>632</v>
      </c>
    </row>
    <row r="146" spans="1:5">
      <c r="A146" t="s">
        <v>0</v>
      </c>
      <c r="B146" t="s">
        <v>0</v>
      </c>
      <c r="C146" t="s">
        <v>132</v>
      </c>
      <c r="D146" t="s">
        <v>473</v>
      </c>
      <c r="E146" t="s">
        <v>633</v>
      </c>
    </row>
    <row r="147" spans="1:5">
      <c r="A147" t="s">
        <v>0</v>
      </c>
      <c r="B147" t="s">
        <v>0</v>
      </c>
      <c r="C147" t="s">
        <v>150</v>
      </c>
      <c r="D147" t="s">
        <v>491</v>
      </c>
      <c r="E147" t="s">
        <v>584</v>
      </c>
    </row>
    <row r="148" spans="1:5">
      <c r="A148" t="s">
        <v>0</v>
      </c>
      <c r="B148" t="s">
        <v>0</v>
      </c>
      <c r="C148" t="s">
        <v>151</v>
      </c>
      <c r="D148" t="s">
        <v>492</v>
      </c>
      <c r="E148" t="s">
        <v>634</v>
      </c>
    </row>
    <row r="149" spans="1:5">
      <c r="A149" t="s">
        <v>0</v>
      </c>
      <c r="B149" t="s">
        <v>0</v>
      </c>
      <c r="C149" t="s">
        <v>152</v>
      </c>
      <c r="D149" t="s">
        <v>493</v>
      </c>
      <c r="E149" t="s">
        <v>635</v>
      </c>
    </row>
    <row r="150" spans="1:5">
      <c r="A150" t="s">
        <v>0</v>
      </c>
      <c r="B150" t="s">
        <v>0</v>
      </c>
      <c r="C150" t="s">
        <v>153</v>
      </c>
      <c r="D150" t="s">
        <v>494</v>
      </c>
      <c r="E150" t="s">
        <v>636</v>
      </c>
    </row>
    <row r="151" spans="1:5">
      <c r="A151" t="s">
        <v>0</v>
      </c>
      <c r="B151" t="s">
        <v>0</v>
      </c>
      <c r="C151" t="s">
        <v>154</v>
      </c>
      <c r="D151" t="s">
        <v>495</v>
      </c>
      <c r="E151" t="s">
        <v>637</v>
      </c>
    </row>
    <row r="152" spans="1:5">
      <c r="A152" t="s">
        <v>0</v>
      </c>
      <c r="B152" t="s">
        <v>0</v>
      </c>
      <c r="C152" t="s">
        <v>155</v>
      </c>
      <c r="D152" t="s">
        <v>496</v>
      </c>
      <c r="E152" t="s">
        <v>638</v>
      </c>
    </row>
    <row r="153" spans="1:5">
      <c r="A153" t="s">
        <v>0</v>
      </c>
      <c r="B153" t="s">
        <v>0</v>
      </c>
      <c r="C153" t="s">
        <v>156</v>
      </c>
      <c r="D153" t="s">
        <v>497</v>
      </c>
      <c r="E153" t="s">
        <v>639</v>
      </c>
    </row>
    <row r="154" spans="1:5">
      <c r="A154" t="s">
        <v>0</v>
      </c>
      <c r="B154" t="s">
        <v>0</v>
      </c>
      <c r="C154" t="s">
        <v>132</v>
      </c>
      <c r="D154" t="s">
        <v>473</v>
      </c>
      <c r="E154" t="s">
        <v>640</v>
      </c>
    </row>
    <row r="155" spans="1:5">
      <c r="A155" t="s">
        <v>0</v>
      </c>
      <c r="B155" t="s">
        <v>0</v>
      </c>
      <c r="C155" t="s">
        <v>157</v>
      </c>
      <c r="D155" t="s">
        <v>498</v>
      </c>
      <c r="E155" t="s">
        <v>641</v>
      </c>
    </row>
    <row r="156" spans="1:5">
      <c r="A156" t="s">
        <v>0</v>
      </c>
      <c r="B156" t="s">
        <v>0</v>
      </c>
      <c r="C156" t="s">
        <v>158</v>
      </c>
      <c r="D156" t="s">
        <v>499</v>
      </c>
      <c r="E156" t="s">
        <v>642</v>
      </c>
    </row>
    <row r="157" spans="1:5">
      <c r="A157" t="s">
        <v>0</v>
      </c>
      <c r="B157" t="s">
        <v>0</v>
      </c>
      <c r="C157" t="s">
        <v>159</v>
      </c>
      <c r="D157" t="s">
        <v>500</v>
      </c>
      <c r="E157" t="s">
        <v>643</v>
      </c>
    </row>
    <row r="158" spans="1:5">
      <c r="A158" t="s">
        <v>0</v>
      </c>
      <c r="B158" t="s">
        <v>0</v>
      </c>
      <c r="C158" t="s">
        <v>160</v>
      </c>
      <c r="D158" t="s">
        <v>501</v>
      </c>
      <c r="E158" t="s">
        <v>644</v>
      </c>
    </row>
    <row r="159" spans="1:5">
      <c r="A159" t="s">
        <v>0</v>
      </c>
      <c r="B159" t="s">
        <v>0</v>
      </c>
      <c r="C159" t="s">
        <v>161</v>
      </c>
      <c r="D159" t="s">
        <v>502</v>
      </c>
      <c r="E159" t="s">
        <v>645</v>
      </c>
    </row>
    <row r="160" spans="1:5">
      <c r="A160" t="s">
        <v>0</v>
      </c>
      <c r="B160" t="s">
        <v>0</v>
      </c>
      <c r="C160" t="s">
        <v>162</v>
      </c>
      <c r="D160" t="s">
        <v>503</v>
      </c>
      <c r="E160" t="s">
        <v>646</v>
      </c>
    </row>
    <row r="161" spans="1:5">
      <c r="A161" t="s">
        <v>0</v>
      </c>
      <c r="B161" t="s">
        <v>0</v>
      </c>
      <c r="C161" t="s">
        <v>163</v>
      </c>
      <c r="D161" t="s">
        <v>504</v>
      </c>
      <c r="E161" t="s">
        <v>647</v>
      </c>
    </row>
    <row r="162" spans="1:5">
      <c r="A162" t="s">
        <v>0</v>
      </c>
      <c r="B162" t="s">
        <v>0</v>
      </c>
      <c r="C162" t="s">
        <v>164</v>
      </c>
      <c r="D162" t="s">
        <v>505</v>
      </c>
      <c r="E162" t="s">
        <v>648</v>
      </c>
    </row>
    <row r="163" spans="1:5">
      <c r="A163" t="s">
        <v>0</v>
      </c>
      <c r="B163" t="s">
        <v>0</v>
      </c>
      <c r="C163" t="s">
        <v>165</v>
      </c>
      <c r="D163" t="s">
        <v>506</v>
      </c>
      <c r="E163" t="s">
        <v>649</v>
      </c>
    </row>
    <row r="164" spans="1:5">
      <c r="A164" t="s">
        <v>0</v>
      </c>
      <c r="B164" t="s">
        <v>0</v>
      </c>
      <c r="C164" t="s">
        <v>166</v>
      </c>
      <c r="D164" t="s">
        <v>507</v>
      </c>
      <c r="E164" t="s">
        <v>650</v>
      </c>
    </row>
    <row r="165" spans="1:5">
      <c r="A165" t="s">
        <v>0</v>
      </c>
      <c r="B165" t="s">
        <v>0</v>
      </c>
      <c r="C165" t="s">
        <v>167</v>
      </c>
      <c r="D165" t="s">
        <v>508</v>
      </c>
      <c r="E165" t="s">
        <v>651</v>
      </c>
    </row>
    <row r="166" spans="1:5">
      <c r="A166" t="s">
        <v>0</v>
      </c>
      <c r="B166" t="s">
        <v>0</v>
      </c>
      <c r="C166" t="s">
        <v>168</v>
      </c>
      <c r="D166" t="s">
        <v>509</v>
      </c>
      <c r="E166" t="s">
        <v>652</v>
      </c>
    </row>
    <row r="167" spans="1:5">
      <c r="A167" t="s">
        <v>0</v>
      </c>
      <c r="B167" t="s">
        <v>0</v>
      </c>
      <c r="C167" t="s">
        <v>169</v>
      </c>
      <c r="D167" t="s">
        <v>510</v>
      </c>
      <c r="E167" t="s">
        <v>653</v>
      </c>
    </row>
    <row r="168" spans="1:5">
      <c r="A168" t="s">
        <v>0</v>
      </c>
      <c r="B168" t="s">
        <v>0</v>
      </c>
      <c r="C168" t="s">
        <v>170</v>
      </c>
      <c r="D168" t="s">
        <v>511</v>
      </c>
      <c r="E168" t="s">
        <v>654</v>
      </c>
    </row>
    <row r="169" spans="1:5">
      <c r="A169" t="s">
        <v>0</v>
      </c>
      <c r="B169" t="s">
        <v>0</v>
      </c>
      <c r="C169" t="s">
        <v>171</v>
      </c>
      <c r="D169" t="s">
        <v>512</v>
      </c>
      <c r="E169" t="s">
        <v>655</v>
      </c>
    </row>
    <row r="170" spans="1:5">
      <c r="A170" t="s">
        <v>0</v>
      </c>
      <c r="B170" t="s">
        <v>0</v>
      </c>
      <c r="C170" t="s">
        <v>172</v>
      </c>
      <c r="D170" t="s">
        <v>513</v>
      </c>
      <c r="E170" t="s">
        <v>656</v>
      </c>
    </row>
    <row r="171" spans="1:5">
      <c r="A171" t="s">
        <v>0</v>
      </c>
      <c r="B171" t="s">
        <v>0</v>
      </c>
      <c r="C171" t="s">
        <v>173</v>
      </c>
      <c r="D171" t="s">
        <v>514</v>
      </c>
      <c r="E171" t="s">
        <v>657</v>
      </c>
    </row>
    <row r="172" spans="1:5">
      <c r="A172" t="s">
        <v>0</v>
      </c>
      <c r="B172" t="s">
        <v>0</v>
      </c>
      <c r="C172" t="s">
        <v>174</v>
      </c>
      <c r="D172" t="s">
        <v>515</v>
      </c>
      <c r="E172" t="s">
        <v>658</v>
      </c>
    </row>
    <row r="173" spans="1:5">
      <c r="A173" t="s">
        <v>0</v>
      </c>
      <c r="B173" t="s">
        <v>0</v>
      </c>
      <c r="C173" t="s">
        <v>175</v>
      </c>
      <c r="D173" t="s">
        <v>516</v>
      </c>
      <c r="E173" t="s">
        <v>659</v>
      </c>
    </row>
    <row r="174" spans="1:5">
      <c r="A174" t="s">
        <v>0</v>
      </c>
      <c r="B174" t="s">
        <v>0</v>
      </c>
      <c r="C174" t="s">
        <v>176</v>
      </c>
      <c r="D174" t="s">
        <v>517</v>
      </c>
      <c r="E174" t="s">
        <v>660</v>
      </c>
    </row>
    <row r="175" spans="1:5">
      <c r="A175" t="s">
        <v>0</v>
      </c>
      <c r="B175" t="s">
        <v>0</v>
      </c>
      <c r="C175" t="s">
        <v>177</v>
      </c>
      <c r="D175" t="s">
        <v>518</v>
      </c>
      <c r="E175" t="s">
        <v>661</v>
      </c>
    </row>
    <row r="176" spans="1:5">
      <c r="A176" t="s">
        <v>0</v>
      </c>
      <c r="B176" t="s">
        <v>0</v>
      </c>
      <c r="C176" t="s">
        <v>178</v>
      </c>
      <c r="D176" t="s">
        <v>519</v>
      </c>
      <c r="E176" t="s">
        <v>662</v>
      </c>
    </row>
    <row r="177" spans="1:5">
      <c r="A177" t="s">
        <v>0</v>
      </c>
      <c r="B177" t="s">
        <v>0</v>
      </c>
      <c r="C177" t="s">
        <v>179</v>
      </c>
      <c r="D177" t="s">
        <v>520</v>
      </c>
      <c r="E177" t="s">
        <v>663</v>
      </c>
    </row>
    <row r="178" spans="1:5">
      <c r="A178" t="s">
        <v>0</v>
      </c>
      <c r="B178" t="s">
        <v>0</v>
      </c>
      <c r="C178" t="s">
        <v>180</v>
      </c>
      <c r="D178" t="s">
        <v>521</v>
      </c>
      <c r="E178" t="s">
        <v>664</v>
      </c>
    </row>
    <row r="179" spans="1:5">
      <c r="A179" t="s">
        <v>0</v>
      </c>
      <c r="B179" t="s">
        <v>0</v>
      </c>
      <c r="C179" t="s">
        <v>181</v>
      </c>
      <c r="D179" t="s">
        <v>522</v>
      </c>
      <c r="E179" t="s">
        <v>665</v>
      </c>
    </row>
    <row r="180" spans="1:5">
      <c r="A180" t="s">
        <v>0</v>
      </c>
      <c r="B180" t="s">
        <v>0</v>
      </c>
      <c r="C180" t="s">
        <v>182</v>
      </c>
      <c r="D180" t="s">
        <v>523</v>
      </c>
      <c r="E180" t="s">
        <v>666</v>
      </c>
    </row>
    <row r="181" spans="1:5">
      <c r="A181" t="s">
        <v>0</v>
      </c>
      <c r="B181" t="s">
        <v>0</v>
      </c>
      <c r="C181" t="s">
        <v>183</v>
      </c>
      <c r="D181" t="s">
        <v>524</v>
      </c>
      <c r="E181" t="s">
        <v>667</v>
      </c>
    </row>
    <row r="182" spans="1:5">
      <c r="A182" t="s">
        <v>0</v>
      </c>
      <c r="B182" t="s">
        <v>0</v>
      </c>
      <c r="C182" t="s">
        <v>184</v>
      </c>
      <c r="D182" t="s">
        <v>525</v>
      </c>
      <c r="E182" t="s">
        <v>668</v>
      </c>
    </row>
    <row r="183" spans="1:5">
      <c r="A183" t="s">
        <v>0</v>
      </c>
      <c r="B183" t="s">
        <v>0</v>
      </c>
      <c r="C183" t="s">
        <v>185</v>
      </c>
      <c r="D183" t="s">
        <v>526</v>
      </c>
      <c r="E183" t="s">
        <v>669</v>
      </c>
    </row>
    <row r="184" spans="1:5">
      <c r="A184" t="s">
        <v>0</v>
      </c>
      <c r="B184" t="s">
        <v>0</v>
      </c>
      <c r="C184" t="s">
        <v>186</v>
      </c>
      <c r="D184" t="s">
        <v>527</v>
      </c>
      <c r="E184" t="s">
        <v>670</v>
      </c>
    </row>
    <row r="185" spans="1:5">
      <c r="A185" t="s">
        <v>0</v>
      </c>
      <c r="B185" t="s">
        <v>0</v>
      </c>
      <c r="C185" t="s">
        <v>162</v>
      </c>
      <c r="D185" t="s">
        <v>503</v>
      </c>
      <c r="E185" t="s">
        <v>671</v>
      </c>
    </row>
    <row r="186" spans="1:5">
      <c r="A186" t="s">
        <v>0</v>
      </c>
      <c r="B186" t="s">
        <v>0</v>
      </c>
      <c r="C186" t="s">
        <v>187</v>
      </c>
      <c r="D186" t="s">
        <v>528</v>
      </c>
      <c r="E186" t="s">
        <v>672</v>
      </c>
    </row>
    <row r="187" spans="1:5">
      <c r="A187" t="s">
        <v>0</v>
      </c>
      <c r="B187" t="s">
        <v>0</v>
      </c>
      <c r="C187" t="s">
        <v>188</v>
      </c>
      <c r="D187" t="s">
        <v>529</v>
      </c>
      <c r="E187" t="s">
        <v>673</v>
      </c>
    </row>
    <row r="188" spans="1:5">
      <c r="A188" t="s">
        <v>0</v>
      </c>
      <c r="B188" t="s">
        <v>0</v>
      </c>
      <c r="C188" t="s">
        <v>132</v>
      </c>
      <c r="D188" t="s">
        <v>473</v>
      </c>
      <c r="E188" t="s">
        <v>674</v>
      </c>
    </row>
    <row r="189" spans="1:5">
      <c r="A189" t="s">
        <v>0</v>
      </c>
      <c r="B189" t="s">
        <v>0</v>
      </c>
      <c r="C189" t="s">
        <v>132</v>
      </c>
      <c r="D189" t="s">
        <v>473</v>
      </c>
      <c r="E189" t="s">
        <v>675</v>
      </c>
    </row>
    <row r="190" spans="1:5">
      <c r="A190" t="s">
        <v>0</v>
      </c>
      <c r="B190" t="s">
        <v>0</v>
      </c>
      <c r="C190" t="s">
        <v>132</v>
      </c>
      <c r="D190" t="s">
        <v>473</v>
      </c>
      <c r="E190" t="s">
        <v>676</v>
      </c>
    </row>
    <row r="191" spans="1:5">
      <c r="A191" t="s">
        <v>0</v>
      </c>
      <c r="B191" t="s">
        <v>0</v>
      </c>
      <c r="C191" t="s">
        <v>132</v>
      </c>
      <c r="D191" t="s">
        <v>473</v>
      </c>
      <c r="E191" t="s">
        <v>677</v>
      </c>
    </row>
    <row r="192" spans="1:5">
      <c r="A192" t="s">
        <v>0</v>
      </c>
      <c r="B192" t="s">
        <v>0</v>
      </c>
      <c r="C192" t="s">
        <v>132</v>
      </c>
      <c r="D192" t="s">
        <v>473</v>
      </c>
      <c r="E192" t="s">
        <v>678</v>
      </c>
    </row>
    <row r="193" spans="1:5">
      <c r="A193" t="s">
        <v>0</v>
      </c>
      <c r="B193" t="s">
        <v>0</v>
      </c>
      <c r="C193" t="s">
        <v>189</v>
      </c>
      <c r="D193" t="s">
        <v>530</v>
      </c>
      <c r="E193" t="s">
        <v>679</v>
      </c>
    </row>
    <row r="194" spans="1:5">
      <c r="A194" t="s">
        <v>190</v>
      </c>
      <c r="B194" t="s">
        <v>190</v>
      </c>
      <c r="C194" t="s">
        <v>191</v>
      </c>
      <c r="D194" t="s">
        <v>531</v>
      </c>
      <c r="E194" t="s">
        <v>680</v>
      </c>
    </row>
    <row r="195" spans="1:5">
      <c r="A195" t="s">
        <v>190</v>
      </c>
      <c r="B195" t="s">
        <v>190</v>
      </c>
      <c r="C195" t="s">
        <v>190</v>
      </c>
      <c r="D195" t="s">
        <v>532</v>
      </c>
      <c r="E195" t="s">
        <v>681</v>
      </c>
    </row>
    <row r="196" spans="1:5">
      <c r="A196" t="s">
        <v>190</v>
      </c>
      <c r="B196" t="s">
        <v>190</v>
      </c>
      <c r="C196" t="s">
        <v>190</v>
      </c>
      <c r="D196" t="s">
        <v>532</v>
      </c>
      <c r="E196" t="s">
        <v>682</v>
      </c>
    </row>
    <row r="197" spans="1:5">
      <c r="A197" t="s">
        <v>190</v>
      </c>
      <c r="B197" t="s">
        <v>190</v>
      </c>
      <c r="C197" t="s">
        <v>192</v>
      </c>
      <c r="D197" t="s">
        <v>533</v>
      </c>
      <c r="E197" t="s">
        <v>683</v>
      </c>
    </row>
    <row r="198" spans="1:5">
      <c r="A198" t="s">
        <v>55</v>
      </c>
      <c r="B198" t="s">
        <v>55</v>
      </c>
      <c r="C198" t="s">
        <v>193</v>
      </c>
      <c r="D198" t="s">
        <v>534</v>
      </c>
      <c r="E198" t="s">
        <v>684</v>
      </c>
    </row>
    <row r="199" spans="1:5">
      <c r="A199" t="s">
        <v>55</v>
      </c>
      <c r="B199" t="s">
        <v>55</v>
      </c>
      <c r="C199" t="s">
        <v>193</v>
      </c>
      <c r="D199" t="s">
        <v>534</v>
      </c>
      <c r="E199" t="s">
        <v>685</v>
      </c>
    </row>
    <row r="200" spans="1:5">
      <c r="A200" t="s">
        <v>55</v>
      </c>
      <c r="B200" t="s">
        <v>55</v>
      </c>
      <c r="C200" t="s">
        <v>193</v>
      </c>
      <c r="D200" t="s">
        <v>534</v>
      </c>
      <c r="E200" t="s">
        <v>686</v>
      </c>
    </row>
    <row r="201" spans="1:5">
      <c r="A201" t="s">
        <v>55</v>
      </c>
      <c r="B201" t="s">
        <v>55</v>
      </c>
      <c r="C201" t="s">
        <v>193</v>
      </c>
      <c r="D201" t="s">
        <v>534</v>
      </c>
      <c r="E201" t="s">
        <v>687</v>
      </c>
    </row>
    <row r="202" spans="1:5">
      <c r="A202" t="s">
        <v>194</v>
      </c>
      <c r="B202" t="s">
        <v>194</v>
      </c>
      <c r="C202" t="s">
        <v>195</v>
      </c>
      <c r="D202" t="s">
        <v>535</v>
      </c>
      <c r="E202" t="s">
        <v>244</v>
      </c>
    </row>
    <row r="203" spans="1:5">
      <c r="A203" t="s">
        <v>194</v>
      </c>
      <c r="B203" t="s">
        <v>194</v>
      </c>
      <c r="C203" t="s">
        <v>196</v>
      </c>
      <c r="D203" t="s">
        <v>536</v>
      </c>
      <c r="E203" t="s">
        <v>244</v>
      </c>
    </row>
    <row r="204" spans="1:5">
      <c r="A204" t="s">
        <v>194</v>
      </c>
      <c r="B204" t="s">
        <v>194</v>
      </c>
      <c r="C204" t="s">
        <v>18</v>
      </c>
      <c r="D204" t="s">
        <v>537</v>
      </c>
      <c r="E204" t="s">
        <v>244</v>
      </c>
    </row>
    <row r="205" spans="1:5">
      <c r="A205" t="s">
        <v>194</v>
      </c>
      <c r="B205" t="s">
        <v>194</v>
      </c>
      <c r="C205" t="s">
        <v>197</v>
      </c>
      <c r="D205" t="s">
        <v>538</v>
      </c>
      <c r="E205" t="s">
        <v>244</v>
      </c>
    </row>
    <row r="206" spans="1:5">
      <c r="A206" t="s">
        <v>194</v>
      </c>
      <c r="B206" t="s">
        <v>194</v>
      </c>
      <c r="C206" t="s">
        <v>198</v>
      </c>
      <c r="D206" t="s">
        <v>539</v>
      </c>
      <c r="E206" t="s">
        <v>244</v>
      </c>
    </row>
    <row r="207" spans="1:5">
      <c r="A207" t="s">
        <v>194</v>
      </c>
      <c r="B207" t="s">
        <v>194</v>
      </c>
      <c r="C207" t="s">
        <v>199</v>
      </c>
      <c r="D207" t="s">
        <v>540</v>
      </c>
      <c r="E207" t="s">
        <v>244</v>
      </c>
    </row>
    <row r="208" spans="1:5">
      <c r="A208" t="s">
        <v>194</v>
      </c>
      <c r="B208" t="s">
        <v>194</v>
      </c>
      <c r="C208" t="s">
        <v>200</v>
      </c>
      <c r="D208" t="s">
        <v>541</v>
      </c>
      <c r="E208" t="s">
        <v>244</v>
      </c>
    </row>
    <row r="209" spans="1:5">
      <c r="A209" t="s">
        <v>194</v>
      </c>
      <c r="B209" t="s">
        <v>194</v>
      </c>
      <c r="C209" t="s">
        <v>201</v>
      </c>
      <c r="D209" t="s">
        <v>542</v>
      </c>
      <c r="E209" t="s">
        <v>244</v>
      </c>
    </row>
    <row r="210" spans="1:5">
      <c r="A210" t="s">
        <v>194</v>
      </c>
      <c r="B210" t="s">
        <v>194</v>
      </c>
      <c r="C210" t="s">
        <v>202</v>
      </c>
      <c r="D210" t="s">
        <v>543</v>
      </c>
      <c r="E210" t="s">
        <v>244</v>
      </c>
    </row>
    <row r="211" spans="1:5">
      <c r="A211" t="s">
        <v>194</v>
      </c>
      <c r="B211" t="s">
        <v>194</v>
      </c>
      <c r="C211" t="s">
        <v>203</v>
      </c>
      <c r="D211" t="s">
        <v>544</v>
      </c>
      <c r="E211" t="s">
        <v>244</v>
      </c>
    </row>
    <row r="212" spans="1:5">
      <c r="A212" t="s">
        <v>194</v>
      </c>
      <c r="B212" t="s">
        <v>194</v>
      </c>
      <c r="C212" t="s">
        <v>204</v>
      </c>
      <c r="D212" t="s">
        <v>545</v>
      </c>
      <c r="E212" t="s">
        <v>244</v>
      </c>
    </row>
    <row r="213" spans="1:5">
      <c r="A213" t="s">
        <v>194</v>
      </c>
      <c r="B213" t="s">
        <v>194</v>
      </c>
      <c r="C213" t="s">
        <v>205</v>
      </c>
      <c r="D213" t="s">
        <v>546</v>
      </c>
      <c r="E213" t="s">
        <v>244</v>
      </c>
    </row>
    <row r="214" spans="1:5">
      <c r="A214" t="s">
        <v>194</v>
      </c>
      <c r="B214" t="s">
        <v>194</v>
      </c>
      <c r="C214" t="s">
        <v>206</v>
      </c>
      <c r="D214" t="s">
        <v>547</v>
      </c>
      <c r="E214" t="s">
        <v>244</v>
      </c>
    </row>
    <row r="215" spans="1:5">
      <c r="A215" t="s">
        <v>194</v>
      </c>
      <c r="B215" t="s">
        <v>194</v>
      </c>
      <c r="C215" t="s">
        <v>207</v>
      </c>
      <c r="D215" t="s">
        <v>548</v>
      </c>
      <c r="E215" t="s">
        <v>244</v>
      </c>
    </row>
    <row r="216" spans="1:5">
      <c r="A216" t="s">
        <v>194</v>
      </c>
      <c r="B216" t="s">
        <v>194</v>
      </c>
      <c r="C216" t="s">
        <v>208</v>
      </c>
      <c r="D216" t="s">
        <v>549</v>
      </c>
      <c r="E216" t="s">
        <v>244</v>
      </c>
    </row>
    <row r="217" spans="1:5">
      <c r="A217" t="s">
        <v>194</v>
      </c>
      <c r="B217" t="s">
        <v>194</v>
      </c>
      <c r="C217" t="s">
        <v>209</v>
      </c>
      <c r="D217" t="s">
        <v>550</v>
      </c>
      <c r="E217" t="s">
        <v>244</v>
      </c>
    </row>
    <row r="218" spans="1:5">
      <c r="A218" t="s">
        <v>194</v>
      </c>
      <c r="B218" t="s">
        <v>194</v>
      </c>
      <c r="C218" t="s">
        <v>76</v>
      </c>
      <c r="D218" t="s">
        <v>551</v>
      </c>
      <c r="E218" t="s">
        <v>244</v>
      </c>
    </row>
    <row r="219" spans="1:5">
      <c r="A219" t="s">
        <v>194</v>
      </c>
      <c r="B219" t="s">
        <v>194</v>
      </c>
      <c r="C219" t="s">
        <v>210</v>
      </c>
      <c r="D219" t="s">
        <v>552</v>
      </c>
      <c r="E219" t="s">
        <v>244</v>
      </c>
    </row>
    <row r="220" spans="1:5">
      <c r="A220" t="s">
        <v>194</v>
      </c>
      <c r="B220" t="s">
        <v>194</v>
      </c>
      <c r="C220" t="s">
        <v>211</v>
      </c>
      <c r="D220" t="s">
        <v>553</v>
      </c>
      <c r="E220" t="s">
        <v>244</v>
      </c>
    </row>
    <row r="221" spans="1:5">
      <c r="A221" t="s">
        <v>194</v>
      </c>
      <c r="B221" t="s">
        <v>194</v>
      </c>
      <c r="C221" t="s">
        <v>212</v>
      </c>
      <c r="D221" t="s">
        <v>554</v>
      </c>
      <c r="E221" t="s">
        <v>244</v>
      </c>
    </row>
    <row r="222" spans="1:5">
      <c r="A222" t="s">
        <v>194</v>
      </c>
      <c r="B222" t="s">
        <v>194</v>
      </c>
      <c r="C222" t="s">
        <v>213</v>
      </c>
      <c r="D222" t="s">
        <v>555</v>
      </c>
      <c r="E222" t="s">
        <v>244</v>
      </c>
    </row>
    <row r="223" spans="1:5">
      <c r="A223" t="s">
        <v>194</v>
      </c>
      <c r="B223" t="s">
        <v>194</v>
      </c>
      <c r="C223" t="s">
        <v>214</v>
      </c>
      <c r="D223" t="s">
        <v>556</v>
      </c>
      <c r="E223" t="s">
        <v>244</v>
      </c>
    </row>
    <row r="224" spans="1:5">
      <c r="A224" t="s">
        <v>194</v>
      </c>
      <c r="B224" t="s">
        <v>194</v>
      </c>
      <c r="C224" t="s">
        <v>215</v>
      </c>
      <c r="D224" t="s">
        <v>557</v>
      </c>
      <c r="E224" t="s">
        <v>244</v>
      </c>
    </row>
    <row r="225" spans="1:5">
      <c r="A225" t="s">
        <v>194</v>
      </c>
      <c r="B225" t="s">
        <v>194</v>
      </c>
      <c r="C225" t="s">
        <v>216</v>
      </c>
      <c r="D225" t="s">
        <v>558</v>
      </c>
      <c r="E225" t="s">
        <v>244</v>
      </c>
    </row>
    <row r="226" spans="1:5">
      <c r="A226" t="s">
        <v>194</v>
      </c>
      <c r="B226" t="s">
        <v>194</v>
      </c>
      <c r="C226" t="s">
        <v>217</v>
      </c>
      <c r="D226" t="s">
        <v>559</v>
      </c>
      <c r="E226" t="s">
        <v>244</v>
      </c>
    </row>
    <row r="227" spans="1:5">
      <c r="A227" t="s">
        <v>194</v>
      </c>
      <c r="B227" t="s">
        <v>194</v>
      </c>
      <c r="C227" t="s">
        <v>218</v>
      </c>
      <c r="D227" t="s">
        <v>560</v>
      </c>
      <c r="E227" t="s">
        <v>244</v>
      </c>
    </row>
    <row r="228" spans="1:5">
      <c r="A228" t="s">
        <v>194</v>
      </c>
      <c r="B228" t="s">
        <v>194</v>
      </c>
      <c r="C228" t="s">
        <v>219</v>
      </c>
      <c r="D228" t="s">
        <v>561</v>
      </c>
      <c r="E228" t="s">
        <v>244</v>
      </c>
    </row>
    <row r="229" spans="1:5">
      <c r="A229" t="s">
        <v>55</v>
      </c>
      <c r="B229" t="s">
        <v>55</v>
      </c>
      <c r="C229" t="s">
        <v>220</v>
      </c>
      <c r="D229" t="s">
        <v>562</v>
      </c>
      <c r="E229" t="s">
        <v>684</v>
      </c>
    </row>
    <row r="230" spans="1:5">
      <c r="A230" t="s">
        <v>55</v>
      </c>
      <c r="B230" t="s">
        <v>55</v>
      </c>
      <c r="C230" t="s">
        <v>221</v>
      </c>
      <c r="D230" t="s">
        <v>563</v>
      </c>
      <c r="E230" t="s">
        <v>684</v>
      </c>
    </row>
    <row r="231" spans="1:5">
      <c r="A231" t="s">
        <v>55</v>
      </c>
      <c r="B231" t="s">
        <v>55</v>
      </c>
      <c r="C231" t="s">
        <v>222</v>
      </c>
      <c r="D231" t="s">
        <v>564</v>
      </c>
      <c r="E231" t="s">
        <v>684</v>
      </c>
    </row>
    <row r="232" spans="1:5">
      <c r="A232" t="s">
        <v>55</v>
      </c>
      <c r="B232" t="s">
        <v>55</v>
      </c>
      <c r="C232" t="s">
        <v>223</v>
      </c>
      <c r="D232" t="s">
        <v>565</v>
      </c>
      <c r="E232" t="s">
        <v>684</v>
      </c>
    </row>
    <row r="233" spans="1:5">
      <c r="A233" t="s">
        <v>55</v>
      </c>
      <c r="B233" t="s">
        <v>55</v>
      </c>
      <c r="C233" t="s">
        <v>18</v>
      </c>
      <c r="D233" t="s">
        <v>566</v>
      </c>
      <c r="E233" t="s">
        <v>685</v>
      </c>
    </row>
    <row r="234" spans="1:5">
      <c r="A234" t="s">
        <v>55</v>
      </c>
      <c r="B234" t="s">
        <v>55</v>
      </c>
      <c r="C234" t="s">
        <v>224</v>
      </c>
      <c r="D234" t="s">
        <v>567</v>
      </c>
      <c r="E234" t="s">
        <v>685</v>
      </c>
    </row>
    <row r="235" spans="1:5">
      <c r="A235" t="s">
        <v>55</v>
      </c>
      <c r="B235" t="s">
        <v>55</v>
      </c>
      <c r="C235" t="s">
        <v>225</v>
      </c>
      <c r="D235" t="s">
        <v>568</v>
      </c>
      <c r="E235" t="s">
        <v>685</v>
      </c>
    </row>
    <row r="236" spans="1:5">
      <c r="A236" t="s">
        <v>55</v>
      </c>
      <c r="B236" t="s">
        <v>55</v>
      </c>
      <c r="C236" t="s">
        <v>226</v>
      </c>
      <c r="D236" t="s">
        <v>569</v>
      </c>
      <c r="E236" t="s">
        <v>685</v>
      </c>
    </row>
    <row r="237" spans="1:5">
      <c r="A237" t="s">
        <v>55</v>
      </c>
      <c r="B237" t="s">
        <v>55</v>
      </c>
      <c r="C237" t="s">
        <v>227</v>
      </c>
      <c r="D237" t="s">
        <v>570</v>
      </c>
      <c r="E237" t="s">
        <v>685</v>
      </c>
    </row>
    <row r="238" spans="1:5">
      <c r="A238" t="s">
        <v>55</v>
      </c>
      <c r="B238" t="s">
        <v>55</v>
      </c>
      <c r="C238" t="s">
        <v>228</v>
      </c>
      <c r="D238" t="s">
        <v>571</v>
      </c>
      <c r="E238" t="s">
        <v>685</v>
      </c>
    </row>
    <row r="239" spans="1:5">
      <c r="A239" t="s">
        <v>55</v>
      </c>
      <c r="B239" t="s">
        <v>55</v>
      </c>
      <c r="C239" t="s">
        <v>229</v>
      </c>
      <c r="D239" t="s">
        <v>572</v>
      </c>
      <c r="E239" t="s">
        <v>685</v>
      </c>
    </row>
    <row r="240" spans="1:5">
      <c r="A240" t="s">
        <v>55</v>
      </c>
      <c r="B240" t="s">
        <v>55</v>
      </c>
      <c r="C240" t="s">
        <v>230</v>
      </c>
      <c r="D240" t="s">
        <v>573</v>
      </c>
      <c r="E240" t="s">
        <v>685</v>
      </c>
    </row>
    <row r="241" spans="1:5">
      <c r="A241" t="s">
        <v>55</v>
      </c>
      <c r="B241" t="s">
        <v>55</v>
      </c>
      <c r="C241" t="s">
        <v>231</v>
      </c>
      <c r="D241" t="s">
        <v>574</v>
      </c>
      <c r="E241" t="s">
        <v>685</v>
      </c>
    </row>
    <row r="242" spans="1:5">
      <c r="A242" t="s">
        <v>55</v>
      </c>
      <c r="B242" t="s">
        <v>55</v>
      </c>
      <c r="C242" t="s">
        <v>232</v>
      </c>
      <c r="D242" t="s">
        <v>575</v>
      </c>
      <c r="E242" t="s">
        <v>685</v>
      </c>
    </row>
    <row r="243" spans="1:5">
      <c r="A243" t="s">
        <v>55</v>
      </c>
      <c r="B243" t="s">
        <v>55</v>
      </c>
      <c r="C243" t="s">
        <v>233</v>
      </c>
      <c r="D243" t="s">
        <v>576</v>
      </c>
      <c r="E243" t="s">
        <v>685</v>
      </c>
    </row>
    <row r="244" spans="1:5">
      <c r="A244" t="s">
        <v>55</v>
      </c>
      <c r="B244" t="s">
        <v>55</v>
      </c>
      <c r="C244" t="s">
        <v>234</v>
      </c>
      <c r="D244" t="s">
        <v>577</v>
      </c>
      <c r="E244" t="s">
        <v>685</v>
      </c>
    </row>
    <row r="245" spans="1:5">
      <c r="A245" t="s">
        <v>55</v>
      </c>
      <c r="B245" t="s">
        <v>55</v>
      </c>
      <c r="C245" t="s">
        <v>235</v>
      </c>
      <c r="D245" t="s">
        <v>578</v>
      </c>
      <c r="E245" t="s">
        <v>685</v>
      </c>
    </row>
    <row r="246" spans="1:5">
      <c r="A246" t="s">
        <v>55</v>
      </c>
      <c r="B246" t="s">
        <v>55</v>
      </c>
      <c r="C246" t="s">
        <v>236</v>
      </c>
      <c r="D246" t="s">
        <v>579</v>
      </c>
      <c r="E246" t="s">
        <v>685</v>
      </c>
    </row>
    <row r="247" spans="1:5">
      <c r="A247" t="s">
        <v>55</v>
      </c>
      <c r="B247" t="s">
        <v>55</v>
      </c>
      <c r="C247" t="s">
        <v>237</v>
      </c>
      <c r="D247" t="s">
        <v>580</v>
      </c>
      <c r="E247" t="s">
        <v>685</v>
      </c>
    </row>
    <row r="248" spans="1:5">
      <c r="A248" t="s">
        <v>55</v>
      </c>
      <c r="B248" t="s">
        <v>55</v>
      </c>
      <c r="C248" t="s">
        <v>238</v>
      </c>
      <c r="D248" t="s">
        <v>581</v>
      </c>
      <c r="E248" t="s">
        <v>686</v>
      </c>
    </row>
    <row r="249" spans="1:5">
      <c r="A249" t="s">
        <v>55</v>
      </c>
      <c r="B249" t="s">
        <v>55</v>
      </c>
      <c r="C249" t="s">
        <v>239</v>
      </c>
      <c r="D249" t="s">
        <v>582</v>
      </c>
      <c r="E249" t="s">
        <v>686</v>
      </c>
    </row>
    <row r="250" spans="1:5">
      <c r="A250" t="s">
        <v>55</v>
      </c>
      <c r="B250" t="s">
        <v>55</v>
      </c>
      <c r="C250" t="s">
        <v>240</v>
      </c>
      <c r="D250" t="s">
        <v>583</v>
      </c>
      <c r="E250" t="s">
        <v>687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150"/>
  <sheetViews>
    <sheetView tabSelected="1" workbookViewId="0">
      <selection activeCell="E1" sqref="E1"/>
    </sheetView>
  </sheetViews>
  <sheetFormatPr defaultRowHeight="18" customHeight="1"/>
  <cols>
    <col min="1" max="1" width="19.140625" style="2" customWidth="1"/>
    <col min="2" max="2" width="17.5703125" style="2" customWidth="1"/>
    <col min="3" max="3" width="21.5703125" style="2" customWidth="1"/>
    <col min="4" max="4" width="17" style="2" bestFit="1" customWidth="1"/>
    <col min="5" max="6" width="36.7109375" style="2" customWidth="1"/>
    <col min="7" max="8" width="17.5703125" style="4" bestFit="1" customWidth="1"/>
    <col min="9" max="9" width="9.140625" style="2"/>
    <col min="10" max="10" width="22.42578125" style="2" bestFit="1" customWidth="1"/>
    <col min="11" max="16384" width="9.140625" style="2"/>
  </cols>
  <sheetData>
    <row r="1" spans="1:10" s="5" customFormat="1" ht="43.5" customHeight="1">
      <c r="A1" s="10" t="s">
        <v>688</v>
      </c>
      <c r="B1" s="16" t="s">
        <v>0</v>
      </c>
      <c r="C1" s="17"/>
      <c r="D1" s="11" t="s">
        <v>691</v>
      </c>
      <c r="E1" s="15" t="s">
        <v>693</v>
      </c>
      <c r="G1" s="6"/>
      <c r="H1" s="6"/>
    </row>
    <row r="2" spans="1:10" ht="16.5" customHeight="1">
      <c r="A2" s="12" t="s">
        <v>692</v>
      </c>
      <c r="B2" s="13"/>
      <c r="C2" s="13"/>
      <c r="D2" s="13"/>
      <c r="E2" s="13"/>
      <c r="F2" s="13"/>
      <c r="G2" s="14"/>
      <c r="H2" s="14"/>
    </row>
    <row r="3" spans="1:10" s="1" customFormat="1" ht="18" customHeight="1">
      <c r="A3" s="1" t="s">
        <v>246</v>
      </c>
      <c r="B3" s="1" t="s">
        <v>247</v>
      </c>
      <c r="C3" s="1" t="s">
        <v>248</v>
      </c>
      <c r="D3" s="1" t="s">
        <v>249</v>
      </c>
      <c r="E3" s="1" t="s">
        <v>250</v>
      </c>
      <c r="F3" s="1" t="s">
        <v>348</v>
      </c>
      <c r="G3" s="1" t="s">
        <v>251</v>
      </c>
      <c r="H3" s="1" t="s">
        <v>252</v>
      </c>
      <c r="J3" s="1" t="s">
        <v>689</v>
      </c>
    </row>
    <row r="4" spans="1:10" ht="18" customHeight="1">
      <c r="F4" s="8"/>
      <c r="G4" s="3">
        <f ca="1">NOW()</f>
        <v>45944.413318981482</v>
      </c>
      <c r="H4" s="3">
        <f ca="1">Table1[[#This Row],[Date]]+1</f>
        <v>45945.413318981482</v>
      </c>
      <c r="J4" s="2" t="str" cm="1">
        <f t="array" ref="J4:J66">_xlfn._xlws.SORT(_xlfn.UNIQUE(_xlfn._xlws.FILTER(fetch_table_routes!C$2:C$1000, fetch_table_routes!B$2:B$1000=main!B1)))</f>
        <v>Anonang Sicsican</v>
      </c>
    </row>
    <row r="5" spans="1:10" ht="18" customHeight="1">
      <c r="F5" s="9"/>
      <c r="G5" s="3"/>
      <c r="H5" s="3"/>
      <c r="J5" s="2" t="str">
        <v>Bapa</v>
      </c>
    </row>
    <row r="6" spans="1:10" ht="18" customHeight="1">
      <c r="F6" s="9"/>
      <c r="G6" s="3"/>
      <c r="H6" s="3"/>
      <c r="J6" s="2" t="str">
        <v>Bapa - Sicsican</v>
      </c>
    </row>
    <row r="7" spans="1:10" ht="18" customHeight="1">
      <c r="F7" s="8"/>
      <c r="G7" s="3"/>
      <c r="H7" s="3"/>
      <c r="J7" s="2" t="str">
        <v>Bapa-Ellen View</v>
      </c>
    </row>
    <row r="8" spans="1:10" ht="18" customHeight="1">
      <c r="F8" s="8"/>
      <c r="G8" s="3"/>
      <c r="H8" s="3"/>
      <c r="J8" s="2" t="str">
        <v>Barrio 1</v>
      </c>
    </row>
    <row r="9" spans="1:10" ht="18" customHeight="1">
      <c r="F9" s="8"/>
      <c r="G9" s="3"/>
      <c r="H9" s="3"/>
      <c r="J9" s="2" t="str">
        <v>Barrio 2</v>
      </c>
    </row>
    <row r="10" spans="1:10" ht="18" customHeight="1">
      <c r="F10" s="8"/>
      <c r="J10" s="2" t="str">
        <v>Barrio 3</v>
      </c>
    </row>
    <row r="11" spans="1:10" ht="18" customHeight="1">
      <c r="F11" s="8"/>
      <c r="J11" s="2" t="str">
        <v>Barrio 4</v>
      </c>
    </row>
    <row r="12" spans="1:10" ht="18" customHeight="1">
      <c r="F12" s="8"/>
      <c r="J12" s="2" t="str">
        <v>Barrio 5</v>
      </c>
    </row>
    <row r="13" spans="1:10" ht="18" customHeight="1">
      <c r="F13" s="8"/>
      <c r="J13" s="2" t="str">
        <v>Barrio 6</v>
      </c>
    </row>
    <row r="14" spans="1:10" ht="18" customHeight="1">
      <c r="F14" s="8"/>
      <c r="J14" s="2" t="str">
        <v>Bgy Mangingisda</v>
      </c>
    </row>
    <row r="15" spans="1:10" ht="18" customHeight="1">
      <c r="F15" s="8"/>
      <c r="J15" s="2" t="str">
        <v>Bgy. Babuyan</v>
      </c>
    </row>
    <row r="16" spans="1:10" ht="18" customHeight="1">
      <c r="J16" s="2" t="str">
        <v>Bgy. Bahile</v>
      </c>
    </row>
    <row r="17" spans="10:10" ht="18" customHeight="1">
      <c r="J17" s="2" t="str">
        <v>Bgy. Binduyan</v>
      </c>
    </row>
    <row r="18" spans="10:10" ht="18" customHeight="1">
      <c r="J18" s="2" t="str">
        <v>Bgy. Concepcion</v>
      </c>
    </row>
    <row r="19" spans="10:10" ht="18" customHeight="1">
      <c r="J19" s="2" t="str">
        <v>Bgy. Langogan</v>
      </c>
    </row>
    <row r="20" spans="10:10" ht="18" customHeight="1">
      <c r="J20" s="2" t="str">
        <v>Bgy. Lucbuan</v>
      </c>
    </row>
    <row r="21" spans="10:10" ht="18" customHeight="1">
      <c r="J21" s="2" t="str">
        <v>Bgy. Luzviminda</v>
      </c>
    </row>
    <row r="22" spans="10:10" ht="18" customHeight="1">
      <c r="J22" s="2" t="str">
        <v>Bgy. Macarascas</v>
      </c>
    </row>
    <row r="23" spans="10:10" ht="18" customHeight="1">
      <c r="J23" s="2" t="str">
        <v>Bgy. Manalo</v>
      </c>
    </row>
    <row r="24" spans="10:10" ht="18" customHeight="1">
      <c r="J24" s="2" t="str">
        <v>Bgy. Mangingisda</v>
      </c>
    </row>
    <row r="25" spans="10:10" ht="18" customHeight="1">
      <c r="J25" s="2" t="str">
        <v>Bgy. Maoyon</v>
      </c>
    </row>
    <row r="26" spans="10:10" ht="18" customHeight="1">
      <c r="J26" s="2" t="str">
        <v>Bgy. Maruyugon</v>
      </c>
    </row>
    <row r="27" spans="10:10" ht="18" customHeight="1">
      <c r="J27" s="2" t="str">
        <v>Bgy. Montible</v>
      </c>
    </row>
    <row r="28" spans="10:10" ht="18" customHeight="1">
      <c r="J28" s="2" t="str">
        <v>Bgy. Napsan</v>
      </c>
    </row>
    <row r="29" spans="10:10" ht="18" customHeight="1">
      <c r="J29" s="2" t="str">
        <v>Bgy. Salvacion</v>
      </c>
    </row>
    <row r="30" spans="10:10" ht="18" customHeight="1">
      <c r="J30" s="2" t="str">
        <v>Bgy. San Isidro</v>
      </c>
    </row>
    <row r="31" spans="10:10" ht="18" customHeight="1">
      <c r="J31" s="2" t="str">
        <v>Bgy. San Rafael</v>
      </c>
    </row>
    <row r="32" spans="10:10" ht="18" customHeight="1">
      <c r="J32" s="2" t="str">
        <v>Bgy. Tanabag</v>
      </c>
    </row>
    <row r="33" spans="10:10" ht="18" customHeight="1">
      <c r="J33" s="2" t="str">
        <v>Bukana, Bgy. Iwahig</v>
      </c>
    </row>
    <row r="34" spans="10:10" ht="18" customHeight="1">
      <c r="J34" s="2" t="str">
        <v>Busngol</v>
      </c>
    </row>
    <row r="35" spans="10:10" ht="18" customHeight="1">
      <c r="J35" s="2" t="str">
        <v>Fishermans Village</v>
      </c>
    </row>
    <row r="36" spans="10:10" ht="18" customHeight="1">
      <c r="J36" s="2" t="str">
        <v>Golden Valley Sicsican</v>
      </c>
    </row>
    <row r="37" spans="10:10" ht="18" customHeight="1">
      <c r="J37" s="2" t="str">
        <v>Honda Bay, Sta. Lourdes</v>
      </c>
    </row>
    <row r="38" spans="10:10" ht="18" customHeight="1">
      <c r="J38" s="2" t="str">
        <v>Malvar / Pub Mkt</v>
      </c>
    </row>
    <row r="39" spans="10:10" ht="18" customHeight="1">
      <c r="J39" s="2" t="str">
        <v>Paleco Employee</v>
      </c>
    </row>
    <row r="40" spans="10:10" ht="18" customHeight="1">
      <c r="J40" s="2" t="str">
        <v>Pbf, Bigloads, Military</v>
      </c>
    </row>
    <row r="41" spans="10:10" ht="18" customHeight="1">
      <c r="J41" s="2" t="str">
        <v>Poblacion 10</v>
      </c>
    </row>
    <row r="42" spans="10:10" ht="18" customHeight="1">
      <c r="J42" s="2" t="str">
        <v>Poblacion 11</v>
      </c>
    </row>
    <row r="43" spans="10:10" ht="18" customHeight="1">
      <c r="J43" s="2" t="str">
        <v>Poblacion 12</v>
      </c>
    </row>
    <row r="44" spans="10:10" ht="18" customHeight="1">
      <c r="J44" s="2" t="str">
        <v>Poblacion 13</v>
      </c>
    </row>
    <row r="45" spans="10:10" ht="18" customHeight="1">
      <c r="J45" s="2" t="str">
        <v>Poblacion 14</v>
      </c>
    </row>
    <row r="46" spans="10:10" ht="18" customHeight="1">
      <c r="J46" s="2" t="str">
        <v>Poblacion 15</v>
      </c>
    </row>
    <row r="47" spans="10:10" ht="18" customHeight="1">
      <c r="J47" s="2" t="str">
        <v>Poblacion 16</v>
      </c>
    </row>
    <row r="48" spans="10:10" ht="18" customHeight="1">
      <c r="J48" s="2" t="str">
        <v>Poblacion 17</v>
      </c>
    </row>
    <row r="49" spans="10:10" ht="18" customHeight="1">
      <c r="J49" s="2" t="str">
        <v>Poblacion 18</v>
      </c>
    </row>
    <row r="50" spans="10:10" ht="18" customHeight="1">
      <c r="J50" s="2" t="str">
        <v>Poblacion 19</v>
      </c>
    </row>
    <row r="51" spans="10:10" ht="18" customHeight="1">
      <c r="J51" s="2" t="str">
        <v>Poblacion 2</v>
      </c>
    </row>
    <row r="52" spans="10:10" ht="18" customHeight="1">
      <c r="J52" s="2" t="str">
        <v>Poblacion 20</v>
      </c>
    </row>
    <row r="53" spans="10:10" ht="18" customHeight="1">
      <c r="J53" s="2" t="str">
        <v>Poblacion 3</v>
      </c>
    </row>
    <row r="54" spans="10:10" ht="18" customHeight="1">
      <c r="J54" s="2" t="str">
        <v>Poblacion 4</v>
      </c>
    </row>
    <row r="55" spans="10:10" ht="18" customHeight="1">
      <c r="J55" s="2" t="str">
        <v>Poblacion 5</v>
      </c>
    </row>
    <row r="56" spans="10:10" ht="18" customHeight="1">
      <c r="J56" s="2" t="str">
        <v>Poblacion 6</v>
      </c>
    </row>
    <row r="57" spans="10:10" ht="18" customHeight="1">
      <c r="J57" s="2" t="str">
        <v>Poblacion 7</v>
      </c>
    </row>
    <row r="58" spans="10:10" ht="18" customHeight="1">
      <c r="J58" s="2" t="str">
        <v>Poblacion 8</v>
      </c>
    </row>
    <row r="59" spans="10:10" ht="18" customHeight="1">
      <c r="J59" s="2" t="str">
        <v>Poblacion 9</v>
      </c>
    </row>
    <row r="60" spans="10:10" ht="18" customHeight="1">
      <c r="J60" s="2" t="str">
        <v>Poblacion I</v>
      </c>
    </row>
    <row r="61" spans="10:10" ht="18" customHeight="1">
      <c r="J61" s="2" t="str">
        <v>Sicsican Housing</v>
      </c>
    </row>
    <row r="62" spans="10:10" ht="18" customHeight="1">
      <c r="J62" s="2" t="str">
        <v>Sta Cruz/Bacungan</v>
      </c>
    </row>
    <row r="63" spans="10:10" ht="18" customHeight="1">
      <c r="J63" s="2" t="str">
        <v>Sunrise, San Jose</v>
      </c>
    </row>
    <row r="64" spans="10:10" ht="18" customHeight="1">
      <c r="J64" s="2" t="str">
        <v>Tagburos Aplaya</v>
      </c>
    </row>
    <row r="65" spans="10:10" ht="18" customHeight="1">
      <c r="J65" s="2" t="str">
        <v>Typoco, San Manuel</v>
      </c>
    </row>
    <row r="66" spans="10:10" ht="18" customHeight="1">
      <c r="J66" s="2" t="str">
        <v>Visapa, Irawan</v>
      </c>
    </row>
    <row r="101" spans="6:6" ht="18" customHeight="1">
      <c r="F101" s="7"/>
    </row>
    <row r="102" spans="6:6" ht="18" customHeight="1">
      <c r="F102" s="7"/>
    </row>
    <row r="103" spans="6:6" ht="18" customHeight="1">
      <c r="F103" s="7"/>
    </row>
    <row r="104" spans="6:6" ht="18" customHeight="1">
      <c r="F104" s="7"/>
    </row>
    <row r="105" spans="6:6" ht="18" customHeight="1">
      <c r="F105" s="7"/>
    </row>
    <row r="106" spans="6:6" ht="18" customHeight="1">
      <c r="F106" s="7"/>
    </row>
    <row r="107" spans="6:6" ht="18" customHeight="1">
      <c r="F107" s="7"/>
    </row>
    <row r="108" spans="6:6" ht="18" customHeight="1">
      <c r="F108" s="7"/>
    </row>
    <row r="109" spans="6:6" ht="18" customHeight="1">
      <c r="F109" s="7"/>
    </row>
    <row r="110" spans="6:6" ht="18" customHeight="1">
      <c r="F110" s="7"/>
    </row>
    <row r="111" spans="6:6" ht="18" customHeight="1">
      <c r="F111" s="7"/>
    </row>
    <row r="112" spans="6:6" ht="18" customHeight="1">
      <c r="F112" s="7"/>
    </row>
    <row r="113" spans="6:6" ht="18" customHeight="1">
      <c r="F113" s="7"/>
    </row>
    <row r="114" spans="6:6" ht="18" customHeight="1">
      <c r="F114" s="7"/>
    </row>
    <row r="115" spans="6:6" ht="18" customHeight="1">
      <c r="F115" s="7"/>
    </row>
    <row r="116" spans="6:6" ht="18" customHeight="1">
      <c r="F116" s="7"/>
    </row>
    <row r="117" spans="6:6" ht="18" customHeight="1">
      <c r="F117" s="7"/>
    </row>
    <row r="118" spans="6:6" ht="18" customHeight="1">
      <c r="F118" s="7"/>
    </row>
    <row r="119" spans="6:6" ht="18" customHeight="1">
      <c r="F119" s="7"/>
    </row>
    <row r="120" spans="6:6" ht="18" customHeight="1">
      <c r="F120" s="7"/>
    </row>
    <row r="121" spans="6:6" ht="18" customHeight="1">
      <c r="F121" s="7"/>
    </row>
    <row r="122" spans="6:6" ht="18" customHeight="1">
      <c r="F122" s="7"/>
    </row>
    <row r="123" spans="6:6" ht="18" customHeight="1">
      <c r="F123" s="7"/>
    </row>
    <row r="124" spans="6:6" ht="18" customHeight="1">
      <c r="F124" s="7"/>
    </row>
    <row r="125" spans="6:6" ht="18" customHeight="1">
      <c r="F125" s="7"/>
    </row>
    <row r="126" spans="6:6" ht="18" customHeight="1">
      <c r="F126" s="7"/>
    </row>
    <row r="127" spans="6:6" ht="18" customHeight="1">
      <c r="F127" s="7"/>
    </row>
    <row r="128" spans="6:6" ht="18" customHeight="1">
      <c r="F128" s="7"/>
    </row>
    <row r="129" spans="5:6" ht="18" customHeight="1">
      <c r="F129" s="7"/>
    </row>
    <row r="130" spans="5:6" ht="18" customHeight="1">
      <c r="F130" s="7"/>
    </row>
    <row r="131" spans="5:6" ht="18" customHeight="1">
      <c r="E131" s="7"/>
      <c r="F131" s="7"/>
    </row>
    <row r="132" spans="5:6" ht="18" customHeight="1">
      <c r="E132" s="7"/>
      <c r="F132" s="7"/>
    </row>
    <row r="133" spans="5:6" ht="18" customHeight="1">
      <c r="E133" s="7"/>
      <c r="F133" s="7"/>
    </row>
    <row r="134" spans="5:6" ht="18" customHeight="1">
      <c r="E134" s="7"/>
      <c r="F134" s="7"/>
    </row>
    <row r="135" spans="5:6" ht="18" customHeight="1">
      <c r="E135" s="7"/>
      <c r="F135" s="7"/>
    </row>
    <row r="136" spans="5:6" ht="18" customHeight="1">
      <c r="E136" s="7"/>
      <c r="F136" s="7"/>
    </row>
    <row r="137" spans="5:6" ht="18" customHeight="1">
      <c r="E137" s="7"/>
      <c r="F137" s="7"/>
    </row>
    <row r="138" spans="5:6" ht="18" customHeight="1">
      <c r="E138" s="7"/>
      <c r="F138" s="7"/>
    </row>
    <row r="139" spans="5:6" ht="18" customHeight="1">
      <c r="E139" s="7"/>
      <c r="F139" s="7"/>
    </row>
    <row r="140" spans="5:6" ht="18" customHeight="1">
      <c r="E140" s="7"/>
      <c r="F140" s="7"/>
    </row>
    <row r="141" spans="5:6" ht="18" customHeight="1">
      <c r="E141" s="7"/>
      <c r="F141" s="7"/>
    </row>
    <row r="142" spans="5:6" ht="18" customHeight="1">
      <c r="E142" s="7"/>
      <c r="F142" s="7"/>
    </row>
    <row r="143" spans="5:6" ht="18" customHeight="1">
      <c r="E143" s="7"/>
      <c r="F143" s="7"/>
    </row>
    <row r="144" spans="5:6" ht="18" customHeight="1">
      <c r="E144" s="7"/>
      <c r="F144" s="7"/>
    </row>
    <row r="145" spans="5:6" ht="18" customHeight="1">
      <c r="E145" s="7"/>
      <c r="F145" s="7"/>
    </row>
    <row r="146" spans="5:6" ht="18" customHeight="1">
      <c r="E146" s="7"/>
      <c r="F146" s="7"/>
    </row>
    <row r="147" spans="5:6" ht="18" customHeight="1">
      <c r="E147" s="7"/>
      <c r="F147" s="7"/>
    </row>
    <row r="148" spans="5:6" ht="18" customHeight="1">
      <c r="E148" s="7"/>
      <c r="F148" s="7"/>
    </row>
    <row r="149" spans="5:6" ht="18" customHeight="1">
      <c r="E149" s="7"/>
      <c r="F149" s="7"/>
    </row>
    <row r="150" spans="5:6" ht="18" customHeight="1">
      <c r="E150" s="7"/>
      <c r="F150" s="7"/>
    </row>
  </sheetData>
  <mergeCells count="1">
    <mergeCell ref="B1:C1"/>
  </mergeCells>
  <phoneticPr fontId="1" type="noConversion"/>
  <dataValidations count="1">
    <dataValidation type="list" allowBlank="1" showInputMessage="1" showErrorMessage="1" sqref="B1:C1">
      <formula1>routelist</formula1>
    </dataValidation>
  </dataValidations>
  <pageMargins left="0.7" right="0.7" top="0.75" bottom="0.75" header="0.3" footer="0.3"/>
  <pageSetup paperSize="9" orientation="portrait" horizontalDpi="0" verticalDpi="0" r:id="rId1"/>
  <legacyDrawing r:id="rId2"/>
  <controls>
    <control shapeId="1025" r:id="rId3" name="btnUpload"/>
  </controls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75D80A-4A1A-48BE-9748-76ED9954C6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fetch_table_vehicles</vt:lpstr>
      <vt:lpstr>fetch_table_routes</vt:lpstr>
      <vt:lpstr>main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r.g.padrones.paleco</dc:creator>
  <cp:lastModifiedBy>Windows User</cp:lastModifiedBy>
  <dcterms:created xsi:type="dcterms:W3CDTF">2015-06-05T18:17:20Z</dcterms:created>
  <dcterms:modified xsi:type="dcterms:W3CDTF">2025-10-14T01:55:14Z</dcterms:modified>
</cp:coreProperties>
</file>